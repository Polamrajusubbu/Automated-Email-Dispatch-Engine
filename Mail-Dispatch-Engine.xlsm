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20115004 - Rama Subba Rao\Rama Subba Rao P\Automation\Template\Email Engine\"/>
    </mc:Choice>
  </mc:AlternateContent>
  <xr:revisionPtr revIDLastSave="0" documentId="13_ncr:1_{3E44B910-67CD-4886-937F-B53F3A1E9C26}" xr6:coauthVersionLast="47" xr6:coauthVersionMax="47" xr10:uidLastSave="{00000000-0000-0000-0000-000000000000}"/>
  <bookViews>
    <workbookView showSheetTabs="0" xWindow="-108" yWindow="-108" windowWidth="23256" windowHeight="12456" tabRatio="773" xr2:uid="{00000000-000D-0000-FFFF-FFFF00000000}"/>
  </bookViews>
  <sheets>
    <sheet name="ControlPanel" sheetId="57" r:id="rId1"/>
    <sheet name="DispatchData" sheetId="1" r:id="rId2"/>
    <sheet name="InvoiceDump" sheetId="52" r:id="rId3"/>
    <sheet name="FileNames" sheetId="53" r:id="rId4"/>
    <sheet name="SentLog" sheetId="6" r:id="rId5"/>
    <sheet name="CustomerData" sheetId="50" r:id="rId6"/>
    <sheet name="MailTemplate" sheetId="2" r:id="rId7"/>
    <sheet name="MailTemplate1" sheetId="55" r:id="rId8"/>
    <sheet name="MailTemplate2" sheetId="56" r:id="rId9"/>
  </sheets>
  <functionGroups builtInGroupCount="19"/>
  <definedNames>
    <definedName name="_xlnm._FilterDatabase" localSheetId="3" hidden="1">FileNames!$A$3:$C$3</definedName>
    <definedName name="_xlnm._FilterDatabase" localSheetId="4" hidden="1">SentLog!#REF!</definedName>
    <definedName name="_MailAutoSig" localSheetId="6">MailTemplate!#REF!</definedName>
    <definedName name="_MailAutoSig" localSheetId="7">MailTemplate1!#REF!</definedName>
    <definedName name="_MailAutoSig" localSheetId="8">MailTemplate2!#REF!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52" l="1"/>
  <c r="M6" i="52"/>
  <c r="M7" i="52"/>
  <c r="M8" i="52"/>
  <c r="M9" i="52"/>
  <c r="M10" i="5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27" i="52"/>
  <c r="M28" i="52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43" i="52"/>
  <c r="M44" i="52"/>
  <c r="M45" i="52"/>
  <c r="M46" i="52"/>
  <c r="M47" i="52"/>
  <c r="M48" i="52"/>
  <c r="M49" i="52"/>
  <c r="M50" i="52"/>
  <c r="M51" i="52"/>
  <c r="M52" i="52"/>
  <c r="M53" i="52"/>
  <c r="M54" i="52"/>
  <c r="M55" i="52"/>
  <c r="M56" i="52"/>
  <c r="M57" i="52"/>
  <c r="M58" i="52"/>
  <c r="M59" i="52"/>
  <c r="M60" i="52"/>
  <c r="M61" i="52"/>
  <c r="M62" i="52"/>
  <c r="M63" i="52"/>
  <c r="M64" i="52"/>
  <c r="M65" i="52"/>
  <c r="M66" i="52"/>
  <c r="M67" i="52"/>
  <c r="M68" i="52"/>
  <c r="M69" i="52"/>
  <c r="M70" i="52"/>
  <c r="M71" i="52"/>
  <c r="M72" i="52"/>
  <c r="M73" i="52"/>
  <c r="M74" i="52"/>
  <c r="M75" i="52"/>
  <c r="M76" i="52"/>
  <c r="M77" i="52"/>
  <c r="M78" i="52"/>
  <c r="M79" i="52"/>
  <c r="M80" i="52"/>
  <c r="M81" i="52"/>
  <c r="M82" i="52"/>
  <c r="M83" i="52"/>
  <c r="M84" i="52"/>
  <c r="M85" i="52"/>
  <c r="M86" i="52"/>
  <c r="M4" i="52"/>
  <c r="N5" i="52"/>
  <c r="N6" i="52"/>
  <c r="N7" i="52"/>
  <c r="N8" i="52"/>
  <c r="N9" i="52"/>
  <c r="N10" i="52"/>
  <c r="N11" i="52"/>
  <c r="N12" i="52"/>
  <c r="N13" i="52"/>
  <c r="N14" i="52"/>
  <c r="N15" i="52"/>
  <c r="N16" i="52"/>
  <c r="N17" i="52"/>
  <c r="N18" i="52"/>
  <c r="N19" i="52"/>
  <c r="N20" i="52"/>
  <c r="N21" i="52"/>
  <c r="N22" i="52"/>
  <c r="N23" i="52"/>
  <c r="N24" i="52"/>
  <c r="N25" i="52"/>
  <c r="N26" i="52"/>
  <c r="N27" i="52"/>
  <c r="N28" i="52"/>
  <c r="N29" i="52"/>
  <c r="N30" i="52"/>
  <c r="N31" i="52"/>
  <c r="N32" i="52"/>
  <c r="N33" i="52"/>
  <c r="N34" i="52"/>
  <c r="N35" i="52"/>
  <c r="N36" i="52"/>
  <c r="N37" i="52"/>
  <c r="N38" i="52"/>
  <c r="N39" i="52"/>
  <c r="N40" i="52"/>
  <c r="N41" i="52"/>
  <c r="N42" i="52"/>
  <c r="N43" i="52"/>
  <c r="N44" i="52"/>
  <c r="N45" i="52"/>
  <c r="N46" i="52"/>
  <c r="N47" i="52"/>
  <c r="N48" i="52"/>
  <c r="N49" i="52"/>
  <c r="N50" i="52"/>
  <c r="N51" i="52"/>
  <c r="N52" i="52"/>
  <c r="N53" i="52"/>
  <c r="N54" i="52"/>
  <c r="N55" i="52"/>
  <c r="N56" i="52"/>
  <c r="N57" i="52"/>
  <c r="N58" i="52"/>
  <c r="N59" i="52"/>
  <c r="N60" i="52"/>
  <c r="N61" i="52"/>
  <c r="N62" i="52"/>
  <c r="N63" i="52"/>
  <c r="N64" i="52"/>
  <c r="N65" i="52"/>
  <c r="N66" i="52"/>
  <c r="N67" i="52"/>
  <c r="N68" i="52"/>
  <c r="N69" i="52"/>
  <c r="N70" i="52"/>
  <c r="N71" i="52"/>
  <c r="N72" i="52"/>
  <c r="N73" i="52"/>
  <c r="N74" i="52"/>
  <c r="N4" i="52"/>
  <c r="G8" i="57" a="1"/>
  <c r="G8" i="57" s="1"/>
  <c r="G7" i="57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P5" i="1" l="1"/>
  <c r="P4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4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U4" i="52" l="1"/>
  <c r="U5" i="52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36" i="52"/>
  <c r="U37" i="52"/>
  <c r="U38" i="52"/>
  <c r="U39" i="52"/>
  <c r="U40" i="52"/>
  <c r="U41" i="52"/>
  <c r="U42" i="52"/>
  <c r="U43" i="52"/>
  <c r="U44" i="52"/>
  <c r="U45" i="52"/>
  <c r="U46" i="52"/>
  <c r="U47" i="52"/>
  <c r="U48" i="52"/>
  <c r="U49" i="52"/>
  <c r="U50" i="52"/>
  <c r="U51" i="52"/>
  <c r="U52" i="52"/>
  <c r="U53" i="52"/>
  <c r="U54" i="52"/>
  <c r="U55" i="52"/>
  <c r="U56" i="52"/>
  <c r="U57" i="52"/>
  <c r="U58" i="52"/>
  <c r="U59" i="52"/>
  <c r="U60" i="52"/>
  <c r="U61" i="52"/>
  <c r="U62" i="52"/>
  <c r="U63" i="52"/>
  <c r="U64" i="52"/>
  <c r="U65" i="52"/>
  <c r="U66" i="52"/>
  <c r="U67" i="52"/>
  <c r="U68" i="52"/>
  <c r="U69" i="52"/>
  <c r="U70" i="52"/>
  <c r="U71" i="52"/>
  <c r="U72" i="52"/>
  <c r="U73" i="52"/>
  <c r="U74" i="52"/>
  <c r="U75" i="52"/>
  <c r="U76" i="52"/>
  <c r="U77" i="52"/>
  <c r="U78" i="52"/>
  <c r="U79" i="52"/>
  <c r="U80" i="52"/>
  <c r="U81" i="52"/>
  <c r="U82" i="52"/>
  <c r="U83" i="52"/>
  <c r="U84" i="52"/>
  <c r="U85" i="52"/>
  <c r="U86" i="52"/>
  <c r="S4" i="52"/>
  <c r="L7" i="52" a="1"/>
  <c r="L7" i="52" s="1"/>
  <c r="S5" i="52"/>
  <c r="S6" i="52"/>
  <c r="S7" i="52"/>
  <c r="S8" i="52"/>
  <c r="S9" i="52"/>
  <c r="S10" i="52"/>
  <c r="S11" i="52"/>
  <c r="S12" i="52"/>
  <c r="S13" i="52"/>
  <c r="S14" i="52"/>
  <c r="S15" i="52"/>
  <c r="S16" i="52"/>
  <c r="S17" i="52"/>
  <c r="S18" i="52"/>
  <c r="S19" i="52"/>
  <c r="S20" i="52"/>
  <c r="S21" i="52"/>
  <c r="S22" i="52"/>
  <c r="S23" i="52"/>
  <c r="S24" i="52"/>
  <c r="S25" i="52"/>
  <c r="S26" i="52"/>
  <c r="S27" i="52"/>
  <c r="S28" i="52"/>
  <c r="S29" i="52"/>
  <c r="S30" i="52"/>
  <c r="S31" i="52"/>
  <c r="S32" i="52"/>
  <c r="S33" i="52"/>
  <c r="S34" i="52"/>
  <c r="S35" i="52"/>
  <c r="S36" i="52"/>
  <c r="S37" i="52"/>
  <c r="S38" i="52"/>
  <c r="S39" i="52"/>
  <c r="S40" i="52"/>
  <c r="S41" i="52"/>
  <c r="S42" i="52"/>
  <c r="S43" i="52"/>
  <c r="S44" i="52"/>
  <c r="S45" i="52"/>
  <c r="S46" i="52"/>
  <c r="S47" i="52"/>
  <c r="S48" i="52"/>
  <c r="S49" i="52"/>
  <c r="S50" i="52"/>
  <c r="S51" i="52"/>
  <c r="S52" i="52"/>
  <c r="S53" i="52"/>
  <c r="S54" i="52"/>
  <c r="S55" i="52"/>
  <c r="S56" i="52"/>
  <c r="S57" i="52"/>
  <c r="S58" i="52"/>
  <c r="S59" i="52"/>
  <c r="S60" i="52"/>
  <c r="S61" i="52"/>
  <c r="S62" i="52"/>
  <c r="S63" i="52"/>
  <c r="S64" i="52"/>
  <c r="S65" i="52"/>
  <c r="S66" i="52"/>
  <c r="S67" i="52"/>
  <c r="S68" i="52"/>
  <c r="S69" i="52"/>
  <c r="S70" i="52"/>
  <c r="S71" i="52"/>
  <c r="S72" i="52"/>
  <c r="S73" i="52"/>
  <c r="S74" i="52"/>
  <c r="S75" i="52"/>
  <c r="S76" i="52"/>
  <c r="S77" i="52"/>
  <c r="S78" i="52"/>
  <c r="S79" i="52"/>
  <c r="S80" i="52"/>
  <c r="S81" i="52"/>
  <c r="S82" i="52"/>
  <c r="S83" i="52"/>
  <c r="S84" i="52"/>
  <c r="S85" i="52"/>
  <c r="S86" i="52"/>
  <c r="V4" i="52" a="1"/>
  <c r="V16" i="52" a="1"/>
  <c r="V28" i="52" a="1"/>
  <c r="V40" i="52" a="1"/>
  <c r="V52" i="52" a="1"/>
  <c r="V64" i="52" a="1"/>
  <c r="V76" i="52" a="1"/>
  <c r="V5" i="52" a="1"/>
  <c r="V17" i="52" a="1"/>
  <c r="V29" i="52" a="1"/>
  <c r="V41" i="52" a="1"/>
  <c r="V53" i="52" a="1"/>
  <c r="V65" i="52" a="1"/>
  <c r="V77" i="52" a="1"/>
  <c r="T5" i="52" a="1"/>
  <c r="T17" i="52" a="1"/>
  <c r="T29" i="52" a="1"/>
  <c r="T41" i="52" a="1"/>
  <c r="T53" i="52" a="1"/>
  <c r="T65" i="52" a="1"/>
  <c r="T77" i="52" a="1"/>
  <c r="T18" i="52" a="1"/>
  <c r="T30" i="52" a="1"/>
  <c r="T42" i="52" a="1"/>
  <c r="T54" i="52" a="1"/>
  <c r="T78" i="52" a="1"/>
  <c r="T56" i="52" a="1"/>
  <c r="T80" i="52" a="1"/>
  <c r="T59" i="52" a="1"/>
  <c r="V12" i="52" a="1"/>
  <c r="V24" i="52" a="1"/>
  <c r="V36" i="52" a="1"/>
  <c r="V48" i="52" a="1"/>
  <c r="V60" i="52" a="1"/>
  <c r="T12" i="52" a="1"/>
  <c r="V6" i="52" a="1"/>
  <c r="V18" i="52" a="1"/>
  <c r="V30" i="52" a="1"/>
  <c r="V42" i="52" a="1"/>
  <c r="V54" i="52" a="1"/>
  <c r="V66" i="52" a="1"/>
  <c r="V78" i="52" a="1"/>
  <c r="T6" i="52" a="1"/>
  <c r="T66" i="52" a="1"/>
  <c r="T44" i="52" a="1"/>
  <c r="V23" i="52" a="1"/>
  <c r="V47" i="52" a="1"/>
  <c r="V71" i="52" a="1"/>
  <c r="T11" i="52" a="1"/>
  <c r="T83" i="52" a="1"/>
  <c r="T60" i="52" a="1"/>
  <c r="T84" i="52" a="1"/>
  <c r="T37" i="52" a="1"/>
  <c r="T49" i="52" a="1"/>
  <c r="T85" i="52" a="1"/>
  <c r="V26" i="52" a="1"/>
  <c r="V74" i="52" a="1"/>
  <c r="T26" i="52" a="1"/>
  <c r="T50" i="52" a="1"/>
  <c r="T86" i="52" a="1"/>
  <c r="V15" i="52" a="1"/>
  <c r="V51" i="52" a="1"/>
  <c r="V63" i="52" a="1"/>
  <c r="T15" i="52" a="1"/>
  <c r="T39" i="52" a="1"/>
  <c r="T75" i="52" a="1"/>
  <c r="V7" i="52" a="1"/>
  <c r="V19" i="52" a="1"/>
  <c r="V31" i="52" a="1"/>
  <c r="V43" i="52" a="1"/>
  <c r="V55" i="52" a="1"/>
  <c r="V67" i="52" a="1"/>
  <c r="V79" i="52" a="1"/>
  <c r="T7" i="52" a="1"/>
  <c r="T19" i="52" a="1"/>
  <c r="T31" i="52" a="1"/>
  <c r="T43" i="52" a="1"/>
  <c r="T55" i="52" a="1"/>
  <c r="T67" i="52" a="1"/>
  <c r="T79" i="52" a="1"/>
  <c r="V8" i="52" a="1"/>
  <c r="V20" i="52" a="1"/>
  <c r="V32" i="52" a="1"/>
  <c r="V44" i="52" a="1"/>
  <c r="V56" i="52" a="1"/>
  <c r="V68" i="52" a="1"/>
  <c r="V80" i="52" a="1"/>
  <c r="T8" i="52" a="1"/>
  <c r="T20" i="52" a="1"/>
  <c r="T32" i="52" a="1"/>
  <c r="T68" i="52" a="1"/>
  <c r="V11" i="52" a="1"/>
  <c r="V35" i="52" a="1"/>
  <c r="V59" i="52" a="1"/>
  <c r="V83" i="52" a="1"/>
  <c r="T23" i="52" a="1"/>
  <c r="T71" i="52" a="1"/>
  <c r="T24" i="52" a="1"/>
  <c r="T72" i="52" a="1"/>
  <c r="V9" i="52" a="1"/>
  <c r="V21" i="52" a="1"/>
  <c r="V33" i="52" a="1"/>
  <c r="V45" i="52" a="1"/>
  <c r="V57" i="52" a="1"/>
  <c r="V69" i="52" a="1"/>
  <c r="V81" i="52" a="1"/>
  <c r="T9" i="52" a="1"/>
  <c r="T21" i="52" a="1"/>
  <c r="T33" i="52" a="1"/>
  <c r="T45" i="52" a="1"/>
  <c r="T57" i="52" a="1"/>
  <c r="T69" i="52" a="1"/>
  <c r="T81" i="52" a="1"/>
  <c r="T47" i="52" a="1"/>
  <c r="V84" i="52" a="1"/>
  <c r="T48" i="52" a="1"/>
  <c r="V25" i="52" a="1"/>
  <c r="V49" i="52" a="1"/>
  <c r="V73" i="52" a="1"/>
  <c r="T13" i="52" a="1"/>
  <c r="T73" i="52" a="1"/>
  <c r="V50" i="52" a="1"/>
  <c r="V62" i="52" a="1"/>
  <c r="V86" i="52" a="1"/>
  <c r="T38" i="52" a="1"/>
  <c r="T74" i="52" a="1"/>
  <c r="V39" i="52" a="1"/>
  <c r="V75" i="52" a="1"/>
  <c r="T27" i="52" a="1"/>
  <c r="T51" i="52" a="1"/>
  <c r="V10" i="52" a="1"/>
  <c r="V22" i="52" a="1"/>
  <c r="V34" i="52" a="1"/>
  <c r="V46" i="52" a="1"/>
  <c r="V58" i="52" a="1"/>
  <c r="V70" i="52" a="1"/>
  <c r="V82" i="52" a="1"/>
  <c r="T10" i="52" a="1"/>
  <c r="T22" i="52" a="1"/>
  <c r="T34" i="52" a="1"/>
  <c r="T46" i="52" a="1"/>
  <c r="T58" i="52" a="1"/>
  <c r="T70" i="52" a="1"/>
  <c r="T82" i="52" a="1"/>
  <c r="T35" i="52" a="1"/>
  <c r="V72" i="52" a="1"/>
  <c r="T36" i="52" a="1"/>
  <c r="V13" i="52" a="1"/>
  <c r="V37" i="52" a="1"/>
  <c r="V61" i="52" a="1"/>
  <c r="V85" i="52" a="1"/>
  <c r="T25" i="52" a="1"/>
  <c r="T61" i="52" a="1"/>
  <c r="V14" i="52" a="1"/>
  <c r="V38" i="52" a="1"/>
  <c r="T14" i="52" a="1"/>
  <c r="T62" i="52" a="1"/>
  <c r="V27" i="52" a="1"/>
  <c r="T4" i="52" a="1"/>
  <c r="T63" i="52" a="1"/>
  <c r="T16" i="52" a="1"/>
  <c r="T28" i="52" a="1"/>
  <c r="T40" i="52" a="1"/>
  <c r="T52" i="52" a="1"/>
  <c r="T64" i="52" a="1"/>
  <c r="T76" i="52" a="1"/>
  <c r="T76" i="52" l="1"/>
  <c r="T64" i="52"/>
  <c r="T52" i="52"/>
  <c r="T40" i="52"/>
  <c r="T28" i="52"/>
  <c r="T16" i="52"/>
  <c r="T63" i="52"/>
  <c r="T4" i="52"/>
  <c r="V27" i="52"/>
  <c r="T62" i="52"/>
  <c r="T14" i="52"/>
  <c r="V38" i="52"/>
  <c r="V14" i="52"/>
  <c r="T61" i="52"/>
  <c r="T25" i="52"/>
  <c r="V85" i="52"/>
  <c r="V61" i="52"/>
  <c r="V37" i="52"/>
  <c r="V13" i="52"/>
  <c r="T36" i="52"/>
  <c r="V72" i="52"/>
  <c r="T35" i="52"/>
  <c r="T82" i="52"/>
  <c r="T70" i="52"/>
  <c r="T58" i="52"/>
  <c r="T46" i="52"/>
  <c r="T34" i="52"/>
  <c r="T22" i="52"/>
  <c r="T10" i="52"/>
  <c r="V82" i="52"/>
  <c r="V70" i="52"/>
  <c r="V58" i="52"/>
  <c r="V46" i="52"/>
  <c r="V34" i="52"/>
  <c r="V22" i="52"/>
  <c r="V10" i="52"/>
  <c r="T51" i="52"/>
  <c r="T27" i="52"/>
  <c r="V75" i="52"/>
  <c r="V39" i="52"/>
  <c r="T74" i="52"/>
  <c r="T38" i="52"/>
  <c r="V86" i="52"/>
  <c r="V62" i="52"/>
  <c r="V50" i="52"/>
  <c r="T73" i="52"/>
  <c r="T13" i="52"/>
  <c r="V73" i="52"/>
  <c r="V49" i="52"/>
  <c r="V25" i="52"/>
  <c r="T48" i="52"/>
  <c r="V84" i="52"/>
  <c r="T47" i="52"/>
  <c r="T81" i="52"/>
  <c r="T69" i="52"/>
  <c r="T57" i="52"/>
  <c r="T45" i="52"/>
  <c r="T33" i="52"/>
  <c r="T21" i="52"/>
  <c r="T9" i="52"/>
  <c r="V81" i="52"/>
  <c r="V69" i="52"/>
  <c r="V57" i="52"/>
  <c r="V45" i="52"/>
  <c r="V33" i="52"/>
  <c r="V21" i="52"/>
  <c r="V9" i="52"/>
  <c r="T72" i="52"/>
  <c r="T24" i="52"/>
  <c r="T71" i="52"/>
  <c r="T23" i="52"/>
  <c r="V83" i="52"/>
  <c r="V59" i="52"/>
  <c r="V35" i="52"/>
  <c r="V11" i="52"/>
  <c r="T68" i="52"/>
  <c r="T32" i="52"/>
  <c r="T20" i="52"/>
  <c r="T8" i="52"/>
  <c r="V80" i="52"/>
  <c r="V68" i="52"/>
  <c r="V56" i="52"/>
  <c r="V44" i="52"/>
  <c r="V32" i="52"/>
  <c r="V20" i="52"/>
  <c r="V8" i="52"/>
  <c r="T79" i="52"/>
  <c r="T67" i="52"/>
  <c r="T55" i="52"/>
  <c r="T43" i="52"/>
  <c r="T31" i="52"/>
  <c r="T19" i="52"/>
  <c r="T7" i="52"/>
  <c r="V79" i="52"/>
  <c r="V67" i="52"/>
  <c r="V55" i="52"/>
  <c r="V43" i="52"/>
  <c r="V31" i="52"/>
  <c r="V19" i="52"/>
  <c r="V7" i="52"/>
  <c r="T75" i="52"/>
  <c r="T39" i="52"/>
  <c r="T15" i="52"/>
  <c r="V63" i="52"/>
  <c r="V51" i="52"/>
  <c r="V15" i="52"/>
  <c r="T86" i="52"/>
  <c r="T50" i="52"/>
  <c r="T26" i="52"/>
  <c r="V74" i="52"/>
  <c r="V26" i="52"/>
  <c r="T85" i="52"/>
  <c r="T49" i="52"/>
  <c r="T37" i="52"/>
  <c r="T84" i="52"/>
  <c r="T60" i="52"/>
  <c r="T83" i="52"/>
  <c r="T11" i="52"/>
  <c r="S11" i="1" s="1"/>
  <c r="V71" i="52"/>
  <c r="V47" i="52"/>
  <c r="V23" i="52"/>
  <c r="T44" i="52"/>
  <c r="T66" i="52"/>
  <c r="T6" i="52"/>
  <c r="V78" i="52"/>
  <c r="V66" i="52"/>
  <c r="V54" i="52"/>
  <c r="V42" i="52"/>
  <c r="V30" i="52"/>
  <c r="V18" i="52"/>
  <c r="V6" i="52"/>
  <c r="T12" i="52"/>
  <c r="S12" i="1" s="1"/>
  <c r="V60" i="52"/>
  <c r="V48" i="52"/>
  <c r="V36" i="52"/>
  <c r="V24" i="52"/>
  <c r="V12" i="52"/>
  <c r="T59" i="52"/>
  <c r="T80" i="52"/>
  <c r="T56" i="52"/>
  <c r="T78" i="52"/>
  <c r="T54" i="52"/>
  <c r="T42" i="52"/>
  <c r="T30" i="52"/>
  <c r="T18" i="52"/>
  <c r="T77" i="52"/>
  <c r="T65" i="52"/>
  <c r="T53" i="52"/>
  <c r="T41" i="52"/>
  <c r="T29" i="52"/>
  <c r="T17" i="52"/>
  <c r="T5" i="52"/>
  <c r="V77" i="52"/>
  <c r="V65" i="52"/>
  <c r="V53" i="52"/>
  <c r="V41" i="52"/>
  <c r="V29" i="52"/>
  <c r="V17" i="52"/>
  <c r="V5" i="52"/>
  <c r="V76" i="52"/>
  <c r="V64" i="52"/>
  <c r="V52" i="52"/>
  <c r="V40" i="52"/>
  <c r="V28" i="52"/>
  <c r="V16" i="52"/>
  <c r="V4" i="52"/>
  <c r="S17" i="1"/>
  <c r="S16" i="1"/>
  <c r="L4" i="52" a="1"/>
  <c r="L4" i="52" s="1"/>
  <c r="L5" i="52" a="1"/>
  <c r="L5" i="52" s="1"/>
  <c r="L6" i="52" a="1"/>
  <c r="L6" i="52" s="1"/>
  <c r="L8" i="52" a="1"/>
  <c r="L8" i="52" s="1"/>
  <c r="L9" i="52" a="1"/>
  <c r="L9" i="52" s="1"/>
  <c r="L10" i="52" a="1"/>
  <c r="L10" i="52" s="1"/>
  <c r="L11" i="52" a="1"/>
  <c r="L11" i="52" s="1"/>
  <c r="L12" i="52" a="1"/>
  <c r="L12" i="52" s="1"/>
  <c r="L13" i="52" a="1"/>
  <c r="L13" i="52" s="1"/>
  <c r="L14" i="52" a="1"/>
  <c r="L14" i="52" s="1"/>
  <c r="L15" i="52" a="1"/>
  <c r="L15" i="52" s="1"/>
  <c r="L16" i="52" a="1"/>
  <c r="L16" i="52" s="1"/>
  <c r="L17" i="52" a="1"/>
  <c r="L17" i="52" s="1"/>
  <c r="L18" i="52" a="1"/>
  <c r="L18" i="52" s="1"/>
  <c r="L19" i="52" a="1"/>
  <c r="L19" i="52" s="1"/>
  <c r="L20" i="52" a="1"/>
  <c r="L20" i="52" s="1"/>
  <c r="L21" i="52" a="1"/>
  <c r="L21" i="52" s="1"/>
  <c r="L22" i="52" a="1"/>
  <c r="L22" i="52" s="1"/>
  <c r="L23" i="52" a="1"/>
  <c r="L23" i="52" s="1"/>
  <c r="L24" i="52" a="1"/>
  <c r="L24" i="52" s="1"/>
  <c r="L25" i="52" a="1"/>
  <c r="L25" i="52" s="1"/>
  <c r="L26" i="52" a="1"/>
  <c r="L26" i="52" s="1"/>
  <c r="L27" i="52" a="1"/>
  <c r="L27" i="52" s="1"/>
  <c r="L28" i="52" a="1"/>
  <c r="L28" i="52" s="1"/>
  <c r="L29" i="52" a="1"/>
  <c r="L29" i="52" s="1"/>
  <c r="L30" i="52" a="1"/>
  <c r="L30" i="52" s="1"/>
  <c r="L31" i="52" a="1"/>
  <c r="L31" i="52" s="1"/>
  <c r="L32" i="52" a="1"/>
  <c r="L32" i="52" s="1"/>
  <c r="L33" i="52" a="1"/>
  <c r="L33" i="52" s="1"/>
  <c r="L34" i="52" a="1"/>
  <c r="L34" i="52" s="1"/>
  <c r="L35" i="52" a="1"/>
  <c r="L35" i="52" s="1"/>
  <c r="L36" i="52" a="1"/>
  <c r="L36" i="52" s="1"/>
  <c r="L37" i="52" a="1"/>
  <c r="L37" i="52" s="1"/>
  <c r="L38" i="52" a="1"/>
  <c r="L38" i="52" s="1"/>
  <c r="L39" i="52" a="1"/>
  <c r="L39" i="52" s="1"/>
  <c r="L40" i="52" a="1"/>
  <c r="L40" i="52" s="1"/>
  <c r="L41" i="52" a="1"/>
  <c r="L41" i="52" s="1"/>
  <c r="L42" i="52" a="1"/>
  <c r="L42" i="52" s="1"/>
  <c r="L43" i="52" a="1"/>
  <c r="L43" i="52" s="1"/>
  <c r="L44" i="52" a="1"/>
  <c r="L44" i="52" s="1"/>
  <c r="L45" i="52" a="1"/>
  <c r="L45" i="52" s="1"/>
  <c r="L46" i="52" a="1"/>
  <c r="L46" i="52" s="1"/>
  <c r="L47" i="52" a="1"/>
  <c r="L47" i="52" s="1"/>
  <c r="L48" i="52" a="1"/>
  <c r="L48" i="52" s="1"/>
  <c r="L49" i="52" a="1"/>
  <c r="L49" i="52" s="1"/>
  <c r="L50" i="52" a="1"/>
  <c r="L50" i="52" s="1"/>
  <c r="L51" i="52" a="1"/>
  <c r="L51" i="52" s="1"/>
  <c r="L52" i="52" a="1"/>
  <c r="L52" i="52" s="1"/>
  <c r="L53" i="52" a="1"/>
  <c r="L53" i="52" s="1"/>
  <c r="L54" i="52" a="1"/>
  <c r="L54" i="52" s="1"/>
  <c r="L55" i="52" a="1"/>
  <c r="L55" i="52" s="1"/>
  <c r="L56" i="52" a="1"/>
  <c r="L56" i="52" s="1"/>
  <c r="L57" i="52" a="1"/>
  <c r="L57" i="52" s="1"/>
  <c r="L58" i="52" a="1"/>
  <c r="L58" i="52" s="1"/>
  <c r="L59" i="52" a="1"/>
  <c r="L59" i="52" s="1"/>
  <c r="L60" i="52" a="1"/>
  <c r="L60" i="52" s="1"/>
  <c r="L61" i="52" a="1"/>
  <c r="L61" i="52" s="1"/>
  <c r="L62" i="52" a="1"/>
  <c r="L62" i="52" s="1"/>
  <c r="L63" i="52" a="1"/>
  <c r="L63" i="52" s="1"/>
  <c r="L64" i="52" a="1"/>
  <c r="L64" i="52" s="1"/>
  <c r="L65" i="52" a="1"/>
  <c r="L65" i="52" s="1"/>
  <c r="L66" i="52" a="1"/>
  <c r="L66" i="52" s="1"/>
  <c r="L67" i="52" a="1"/>
  <c r="L67" i="52" s="1"/>
  <c r="L68" i="52" a="1"/>
  <c r="L68" i="52" s="1"/>
  <c r="L69" i="52" a="1"/>
  <c r="L69" i="52" s="1"/>
  <c r="L70" i="52" a="1"/>
  <c r="L70" i="52" s="1"/>
  <c r="L71" i="52" a="1"/>
  <c r="L71" i="52" s="1"/>
  <c r="L72" i="52" a="1"/>
  <c r="L72" i="52" s="1"/>
  <c r="L73" i="52" a="1"/>
  <c r="L73" i="52" s="1"/>
  <c r="L74" i="52" a="1"/>
  <c r="L74" i="52" s="1"/>
  <c r="L75" i="52" a="1"/>
  <c r="L75" i="52" s="1"/>
  <c r="L76" i="52" a="1"/>
  <c r="L76" i="52" s="1"/>
  <c r="L77" i="52" a="1"/>
  <c r="L77" i="52" s="1"/>
  <c r="L78" i="52" a="1"/>
  <c r="L78" i="52" s="1"/>
  <c r="L79" i="52" a="1"/>
  <c r="L79" i="52" s="1"/>
  <c r="L80" i="52" a="1"/>
  <c r="L80" i="52" s="1"/>
  <c r="L81" i="52" a="1"/>
  <c r="L81" i="52" s="1"/>
  <c r="L82" i="52" a="1"/>
  <c r="L82" i="52" s="1"/>
  <c r="L83" i="52" a="1"/>
  <c r="L83" i="52" s="1"/>
  <c r="L84" i="52" a="1"/>
  <c r="L84" i="52" s="1"/>
  <c r="L85" i="52" a="1"/>
  <c r="L85" i="52" s="1"/>
  <c r="L86" i="52" a="1"/>
  <c r="L86" i="52" s="1"/>
  <c r="S6" i="1" l="1"/>
  <c r="S13" i="1"/>
  <c r="S7" i="1"/>
  <c r="S14" i="1"/>
  <c r="S8" i="1"/>
  <c r="S15" i="1"/>
  <c r="S4" i="1"/>
  <c r="S5" i="1"/>
  <c r="S10" i="1"/>
  <c r="S9" i="1"/>
  <c r="O4" i="52" a="1"/>
  <c r="O4" i="52" s="1"/>
  <c r="O5" i="52" a="1"/>
  <c r="O5" i="52" s="1"/>
  <c r="O6" i="52" a="1"/>
  <c r="O6" i="52" s="1"/>
  <c r="O7" i="52" a="1"/>
  <c r="O7" i="52" s="1"/>
  <c r="K7" i="1" s="1"/>
  <c r="O8" i="52" a="1"/>
  <c r="O8" i="52" s="1"/>
  <c r="K8" i="1" s="1"/>
  <c r="O9" i="52" a="1"/>
  <c r="O9" i="52" s="1"/>
  <c r="K9" i="1" s="1"/>
  <c r="O10" i="52" a="1"/>
  <c r="O10" i="52" s="1"/>
  <c r="O11" i="52" a="1"/>
  <c r="O11" i="52" s="1"/>
  <c r="O12" i="52" a="1"/>
  <c r="O12" i="52" s="1"/>
  <c r="K12" i="1" s="1"/>
  <c r="O13" i="52" a="1"/>
  <c r="O13" i="52" s="1"/>
  <c r="K13" i="1" s="1"/>
  <c r="O14" i="52" a="1"/>
  <c r="O14" i="52" s="1"/>
  <c r="O15" i="52" a="1"/>
  <c r="O15" i="52" s="1"/>
  <c r="O16" i="52" a="1"/>
  <c r="O16" i="52" s="1"/>
  <c r="O17" i="52" a="1"/>
  <c r="O17" i="52" s="1"/>
  <c r="O18" i="52" a="1"/>
  <c r="O18" i="52" s="1"/>
  <c r="O19" i="52" a="1"/>
  <c r="O19" i="52" s="1"/>
  <c r="O20" i="52" a="1"/>
  <c r="O20" i="52" s="1"/>
  <c r="O21" i="52" a="1"/>
  <c r="O21" i="52" s="1"/>
  <c r="O22" i="52" a="1"/>
  <c r="O22" i="52" s="1"/>
  <c r="O23" i="52" a="1"/>
  <c r="O23" i="52" s="1"/>
  <c r="O24" i="52" a="1"/>
  <c r="O24" i="52" s="1"/>
  <c r="O25" i="52" a="1"/>
  <c r="O25" i="52" s="1"/>
  <c r="O26" i="52" a="1"/>
  <c r="O26" i="52" s="1"/>
  <c r="O27" i="52" a="1"/>
  <c r="O27" i="52" s="1"/>
  <c r="O28" i="52" a="1"/>
  <c r="O28" i="52" s="1"/>
  <c r="O29" i="52" a="1"/>
  <c r="O29" i="52" s="1"/>
  <c r="O30" i="52" a="1"/>
  <c r="O30" i="52" s="1"/>
  <c r="O31" i="52" a="1"/>
  <c r="O31" i="52" s="1"/>
  <c r="O32" i="52" a="1"/>
  <c r="O32" i="52" s="1"/>
  <c r="O33" i="52" a="1"/>
  <c r="O33" i="52" s="1"/>
  <c r="O34" i="52" a="1"/>
  <c r="O34" i="52" s="1"/>
  <c r="O35" i="52" a="1"/>
  <c r="O35" i="52" s="1"/>
  <c r="O36" i="52" a="1"/>
  <c r="O36" i="52" s="1"/>
  <c r="O37" i="52" a="1"/>
  <c r="O37" i="52" s="1"/>
  <c r="O38" i="52" a="1"/>
  <c r="O38" i="52" s="1"/>
  <c r="O39" i="52" a="1"/>
  <c r="O39" i="52" s="1"/>
  <c r="O40" i="52" a="1"/>
  <c r="O40" i="52" s="1"/>
  <c r="O41" i="52" a="1"/>
  <c r="O41" i="52" s="1"/>
  <c r="O42" i="52" a="1"/>
  <c r="O42" i="52" s="1"/>
  <c r="O43" i="52" a="1"/>
  <c r="O43" i="52" s="1"/>
  <c r="O44" i="52" a="1"/>
  <c r="O44" i="52" s="1"/>
  <c r="K113" i="1" s="1"/>
  <c r="O45" i="52" a="1"/>
  <c r="O45" i="52" s="1"/>
  <c r="K114" i="1" s="1"/>
  <c r="O46" i="52" a="1"/>
  <c r="O46" i="52" s="1"/>
  <c r="K115" i="1" s="1"/>
  <c r="O47" i="52" a="1"/>
  <c r="O47" i="52" s="1"/>
  <c r="K116" i="1" s="1"/>
  <c r="O48" i="52" a="1"/>
  <c r="O48" i="52" s="1"/>
  <c r="K117" i="1" s="1"/>
  <c r="O49" i="52" a="1"/>
  <c r="O49" i="52" s="1"/>
  <c r="O50" i="52" a="1"/>
  <c r="O50" i="52" s="1"/>
  <c r="O51" i="52" a="1"/>
  <c r="O51" i="52" s="1"/>
  <c r="O52" i="52" a="1"/>
  <c r="O52" i="52" s="1"/>
  <c r="O53" i="52" a="1"/>
  <c r="O53" i="52" s="1"/>
  <c r="O54" i="52" a="1"/>
  <c r="O54" i="52" s="1"/>
  <c r="O55" i="52" a="1"/>
  <c r="O55" i="52" s="1"/>
  <c r="K124" i="1" s="1"/>
  <c r="O56" i="52" a="1"/>
  <c r="O56" i="52" s="1"/>
  <c r="O57" i="52" a="1"/>
  <c r="O57" i="52" s="1"/>
  <c r="K126" i="1" s="1"/>
  <c r="O58" i="52" a="1"/>
  <c r="O58" i="52" s="1"/>
  <c r="K127" i="1" s="1"/>
  <c r="O59" i="52" a="1"/>
  <c r="O59" i="52" s="1"/>
  <c r="K128" i="1" s="1"/>
  <c r="O60" i="52" a="1"/>
  <c r="O60" i="52" s="1"/>
  <c r="K130" i="1" s="1"/>
  <c r="O61" i="52" a="1"/>
  <c r="O61" i="52" s="1"/>
  <c r="O62" i="52" a="1"/>
  <c r="O62" i="52" s="1"/>
  <c r="K131" i="1" s="1"/>
  <c r="O63" i="52" a="1"/>
  <c r="O63" i="52" s="1"/>
  <c r="K132" i="1" s="1"/>
  <c r="O64" i="52" a="1"/>
  <c r="O64" i="52" s="1"/>
  <c r="O65" i="52" a="1"/>
  <c r="O65" i="52" s="1"/>
  <c r="O66" i="52" a="1"/>
  <c r="O66" i="52" s="1"/>
  <c r="O67" i="52" a="1"/>
  <c r="O67" i="52" s="1"/>
  <c r="K137" i="1" s="1"/>
  <c r="O68" i="52" a="1"/>
  <c r="O68" i="52" s="1"/>
  <c r="O69" i="52" a="1"/>
  <c r="O69" i="52" s="1"/>
  <c r="O70" i="52" a="1"/>
  <c r="O70" i="52" s="1"/>
  <c r="O71" i="52" a="1"/>
  <c r="O71" i="52" s="1"/>
  <c r="O72" i="52" a="1"/>
  <c r="O72" i="52" s="1"/>
  <c r="O73" i="52" a="1"/>
  <c r="O73" i="52" s="1"/>
  <c r="O74" i="52" a="1"/>
  <c r="O74" i="52" s="1"/>
  <c r="K144" i="1" s="1"/>
  <c r="O75" i="52" a="1"/>
  <c r="O75" i="52" s="1"/>
  <c r="O76" i="52" a="1"/>
  <c r="O76" i="52" s="1"/>
  <c r="O77" i="52" a="1"/>
  <c r="O77" i="52" s="1"/>
  <c r="O78" i="52" a="1"/>
  <c r="O78" i="52" s="1"/>
  <c r="O79" i="52" a="1"/>
  <c r="O79" i="52" s="1"/>
  <c r="O80" i="52" a="1"/>
  <c r="O80" i="52" s="1"/>
  <c r="O81" i="52" a="1"/>
  <c r="O81" i="52" s="1"/>
  <c r="O82" i="52" a="1"/>
  <c r="O82" i="52" s="1"/>
  <c r="O83" i="52" a="1"/>
  <c r="O83" i="52" s="1"/>
  <c r="O84" i="52" a="1"/>
  <c r="O84" i="52" s="1"/>
  <c r="O85" i="52" a="1"/>
  <c r="O85" i="52" s="1"/>
  <c r="O86" i="52" a="1"/>
  <c r="O86" i="52" s="1"/>
  <c r="F7" i="1"/>
  <c r="F8" i="1"/>
  <c r="F9" i="1"/>
  <c r="F10" i="1"/>
  <c r="F11" i="1"/>
  <c r="B169" i="1"/>
  <c r="B170" i="1"/>
  <c r="B171" i="1"/>
  <c r="B172" i="1"/>
  <c r="C169" i="1"/>
  <c r="C170" i="1"/>
  <c r="C171" i="1"/>
  <c r="C172" i="1"/>
  <c r="E169" i="1"/>
  <c r="E170" i="1"/>
  <c r="E171" i="1"/>
  <c r="E172" i="1"/>
  <c r="F169" i="1"/>
  <c r="F170" i="1"/>
  <c r="F171" i="1"/>
  <c r="F172" i="1"/>
  <c r="G169" i="1"/>
  <c r="H169" i="1" s="1"/>
  <c r="G170" i="1"/>
  <c r="H170" i="1" s="1"/>
  <c r="G171" i="1"/>
  <c r="H171" i="1" s="1"/>
  <c r="G172" i="1"/>
  <c r="H172" i="1" s="1"/>
  <c r="I169" i="1"/>
  <c r="I170" i="1"/>
  <c r="I171" i="1"/>
  <c r="I172" i="1"/>
  <c r="J169" i="1"/>
  <c r="J170" i="1"/>
  <c r="J171" i="1"/>
  <c r="J172" i="1"/>
  <c r="K169" i="1"/>
  <c r="K170" i="1"/>
  <c r="K171" i="1"/>
  <c r="K172" i="1"/>
  <c r="L169" i="1"/>
  <c r="L170" i="1"/>
  <c r="L171" i="1"/>
  <c r="L172" i="1"/>
  <c r="M169" i="1"/>
  <c r="M170" i="1"/>
  <c r="M171" i="1"/>
  <c r="M172" i="1"/>
  <c r="N169" i="1"/>
  <c r="N170" i="1"/>
  <c r="N171" i="1"/>
  <c r="N172" i="1"/>
  <c r="O169" i="1"/>
  <c r="O170" i="1"/>
  <c r="O171" i="1"/>
  <c r="O172" i="1"/>
  <c r="Q169" i="1"/>
  <c r="Q170" i="1"/>
  <c r="Q171" i="1"/>
  <c r="Q172" i="1"/>
  <c r="I7" i="1"/>
  <c r="I8" i="1"/>
  <c r="I9" i="1"/>
  <c r="I10" i="1"/>
  <c r="I90" i="1"/>
  <c r="I92" i="1"/>
  <c r="I93" i="1"/>
  <c r="I94" i="1"/>
  <c r="I95" i="1"/>
  <c r="I96" i="1"/>
  <c r="I97" i="1"/>
  <c r="I98" i="1"/>
  <c r="I114" i="1"/>
  <c r="I115" i="1"/>
  <c r="I116" i="1"/>
  <c r="I117" i="1"/>
  <c r="I118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Q4" i="1"/>
  <c r="R75" i="52"/>
  <c r="R76" i="52"/>
  <c r="R77" i="52"/>
  <c r="R78" i="52"/>
  <c r="R79" i="52"/>
  <c r="R80" i="52"/>
  <c r="R81" i="52"/>
  <c r="R82" i="52"/>
  <c r="R83" i="52"/>
  <c r="R84" i="52"/>
  <c r="R85" i="52"/>
  <c r="R86" i="52"/>
  <c r="P4" i="52"/>
  <c r="P5" i="52"/>
  <c r="Q5" i="52" s="1"/>
  <c r="P6" i="52"/>
  <c r="Q6" i="52" s="1"/>
  <c r="P7" i="52"/>
  <c r="Q7" i="52" s="1"/>
  <c r="N7" i="1" s="1"/>
  <c r="P8" i="52"/>
  <c r="Q8" i="52" s="1"/>
  <c r="P9" i="52"/>
  <c r="Q9" i="52" s="1"/>
  <c r="P10" i="52"/>
  <c r="M10" i="1" s="1"/>
  <c r="P11" i="52"/>
  <c r="P12" i="52"/>
  <c r="Q12" i="52" s="1"/>
  <c r="P13" i="52"/>
  <c r="Q13" i="52" s="1"/>
  <c r="P14" i="52"/>
  <c r="Q14" i="52" s="1"/>
  <c r="P15" i="52"/>
  <c r="M16" i="1" s="1"/>
  <c r="P16" i="52"/>
  <c r="P17" i="52"/>
  <c r="M87" i="1" s="1"/>
  <c r="P18" i="52"/>
  <c r="P19" i="52"/>
  <c r="Q19" i="52" s="1"/>
  <c r="N89" i="1" s="1"/>
  <c r="P20" i="52"/>
  <c r="Q20" i="52" s="1"/>
  <c r="N90" i="1" s="1"/>
  <c r="P21" i="52"/>
  <c r="Q21" i="52" s="1"/>
  <c r="P22" i="52"/>
  <c r="Q22" i="52" s="1"/>
  <c r="N92" i="1" s="1"/>
  <c r="P23" i="52"/>
  <c r="Q23" i="52" s="1"/>
  <c r="N93" i="1" s="1"/>
  <c r="P24" i="52"/>
  <c r="Q24" i="52" s="1"/>
  <c r="N94" i="1" s="1"/>
  <c r="P25" i="52"/>
  <c r="Q25" i="52" s="1"/>
  <c r="P26" i="52"/>
  <c r="Q26" i="52" s="1"/>
  <c r="N96" i="1" s="1"/>
  <c r="P27" i="52"/>
  <c r="M97" i="1" s="1"/>
  <c r="P28" i="52"/>
  <c r="Q28" i="52" s="1"/>
  <c r="P29" i="52"/>
  <c r="Q29" i="52" s="1"/>
  <c r="P30" i="52"/>
  <c r="Q30" i="52" s="1"/>
  <c r="P31" i="52"/>
  <c r="Q31" i="52" s="1"/>
  <c r="P32" i="52"/>
  <c r="Q32" i="52" s="1"/>
  <c r="P33" i="52"/>
  <c r="Q33" i="52" s="1"/>
  <c r="P34" i="52"/>
  <c r="M104" i="1" s="1"/>
  <c r="P35" i="52"/>
  <c r="P36" i="52"/>
  <c r="P37" i="52"/>
  <c r="P38" i="52"/>
  <c r="P39" i="52"/>
  <c r="Q39" i="52" s="1"/>
  <c r="N109" i="1" s="1"/>
  <c r="P40" i="52"/>
  <c r="Q40" i="52" s="1"/>
  <c r="N110" i="1" s="1"/>
  <c r="P41" i="52"/>
  <c r="Q41" i="52" s="1"/>
  <c r="P42" i="52"/>
  <c r="Q42" i="52" s="1"/>
  <c r="P43" i="52"/>
  <c r="Q43" i="52" s="1"/>
  <c r="P44" i="52"/>
  <c r="Q44" i="52" s="1"/>
  <c r="P45" i="52"/>
  <c r="Q45" i="52" s="1"/>
  <c r="P46" i="52"/>
  <c r="Q46" i="52" s="1"/>
  <c r="P47" i="52"/>
  <c r="Q47" i="52" s="1"/>
  <c r="P48" i="52"/>
  <c r="Q48" i="52" s="1"/>
  <c r="P49" i="52"/>
  <c r="Q49" i="52" s="1"/>
  <c r="P50" i="52"/>
  <c r="Q50" i="52" s="1"/>
  <c r="P51" i="52"/>
  <c r="Q51" i="52" s="1"/>
  <c r="P52" i="52"/>
  <c r="Q52" i="52" s="1"/>
  <c r="P53" i="52"/>
  <c r="Q53" i="52" s="1"/>
  <c r="P54" i="52"/>
  <c r="P55" i="52"/>
  <c r="M125" i="1" s="1"/>
  <c r="P56" i="52"/>
  <c r="M126" i="1" s="1"/>
  <c r="P57" i="52"/>
  <c r="M127" i="1" s="1"/>
  <c r="P58" i="52"/>
  <c r="M128" i="1" s="1"/>
  <c r="P59" i="52"/>
  <c r="Q59" i="52" s="1"/>
  <c r="N129" i="1" s="1"/>
  <c r="P60" i="52"/>
  <c r="Q60" i="52" s="1"/>
  <c r="N130" i="1" s="1"/>
  <c r="P61" i="52"/>
  <c r="Q61" i="52" s="1"/>
  <c r="N131" i="1" s="1"/>
  <c r="P62" i="52"/>
  <c r="P63" i="52"/>
  <c r="Q63" i="52" s="1"/>
  <c r="N133" i="1" s="1"/>
  <c r="P64" i="52"/>
  <c r="P65" i="52"/>
  <c r="Q65" i="52" s="1"/>
  <c r="N135" i="1" s="1"/>
  <c r="P66" i="52"/>
  <c r="Q66" i="52" s="1"/>
  <c r="P67" i="52"/>
  <c r="Q67" i="52" s="1"/>
  <c r="N137" i="1" s="1"/>
  <c r="P68" i="52"/>
  <c r="Q68" i="52" s="1"/>
  <c r="P69" i="52"/>
  <c r="Q69" i="52" s="1"/>
  <c r="P70" i="52"/>
  <c r="Q70" i="52" s="1"/>
  <c r="P71" i="52"/>
  <c r="Q71" i="52" s="1"/>
  <c r="P72" i="52"/>
  <c r="Q72" i="52" s="1"/>
  <c r="P73" i="52"/>
  <c r="Q73" i="52" s="1"/>
  <c r="P74" i="52"/>
  <c r="P75" i="52"/>
  <c r="Q75" i="52" s="1"/>
  <c r="P76" i="52"/>
  <c r="Q76" i="52" s="1"/>
  <c r="P77" i="52"/>
  <c r="Q77" i="52" s="1"/>
  <c r="P78" i="52"/>
  <c r="Q78" i="52" s="1"/>
  <c r="P79" i="52"/>
  <c r="Q79" i="52" s="1"/>
  <c r="P80" i="52"/>
  <c r="Q80" i="52" s="1"/>
  <c r="P81" i="52"/>
  <c r="Q81" i="52" s="1"/>
  <c r="P82" i="52"/>
  <c r="Q82" i="52" s="1"/>
  <c r="P83" i="52"/>
  <c r="P84" i="52"/>
  <c r="Q84" i="52" s="1"/>
  <c r="P85" i="52"/>
  <c r="Q85" i="52" s="1"/>
  <c r="P86" i="52"/>
  <c r="Q86" i="52" s="1"/>
  <c r="J7" i="1"/>
  <c r="J8" i="1"/>
  <c r="J9" i="1"/>
  <c r="J10" i="1"/>
  <c r="J11" i="1"/>
  <c r="J14" i="1"/>
  <c r="J87" i="1"/>
  <c r="J88" i="1"/>
  <c r="J89" i="1"/>
  <c r="J90" i="1"/>
  <c r="J91" i="1"/>
  <c r="J96" i="1"/>
  <c r="J97" i="1"/>
  <c r="J98" i="1"/>
  <c r="J99" i="1"/>
  <c r="J100" i="1"/>
  <c r="J106" i="1"/>
  <c r="J108" i="1"/>
  <c r="J109" i="1"/>
  <c r="J110" i="1"/>
  <c r="J116" i="1"/>
  <c r="J117" i="1"/>
  <c r="J118" i="1"/>
  <c r="J119" i="1"/>
  <c r="J120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K4" i="52"/>
  <c r="K5" i="52"/>
  <c r="K6" i="52"/>
  <c r="K7" i="52"/>
  <c r="E7" i="1" s="1"/>
  <c r="K8" i="52"/>
  <c r="E8" i="1" s="1"/>
  <c r="K9" i="52"/>
  <c r="E9" i="1" s="1"/>
  <c r="K10" i="52"/>
  <c r="E10" i="1" s="1"/>
  <c r="K11" i="52"/>
  <c r="K12" i="52"/>
  <c r="K13" i="52"/>
  <c r="K14" i="52"/>
  <c r="K15" i="52"/>
  <c r="K16" i="52"/>
  <c r="K17" i="52"/>
  <c r="K18" i="52"/>
  <c r="K19" i="52"/>
  <c r="E89" i="1" s="1"/>
  <c r="K20" i="52"/>
  <c r="E90" i="1" s="1"/>
  <c r="K21" i="52"/>
  <c r="E91" i="1" s="1"/>
  <c r="K22" i="52"/>
  <c r="E92" i="1" s="1"/>
  <c r="K23" i="52"/>
  <c r="E93" i="1" s="1"/>
  <c r="K24" i="52"/>
  <c r="E94" i="1" s="1"/>
  <c r="K25" i="52"/>
  <c r="E95" i="1" s="1"/>
  <c r="K26" i="52"/>
  <c r="E96" i="1" s="1"/>
  <c r="K27" i="52"/>
  <c r="E97" i="1" s="1"/>
  <c r="K28" i="52"/>
  <c r="E98" i="1" s="1"/>
  <c r="K29" i="52"/>
  <c r="E99" i="1" s="1"/>
  <c r="K30" i="52"/>
  <c r="K31" i="52"/>
  <c r="K32" i="52"/>
  <c r="K33" i="52"/>
  <c r="K34" i="52"/>
  <c r="K35" i="52"/>
  <c r="K36" i="52"/>
  <c r="K37" i="52"/>
  <c r="K38" i="52"/>
  <c r="K39" i="52"/>
  <c r="E109" i="1" s="1"/>
  <c r="K40" i="52"/>
  <c r="E110" i="1" s="1"/>
  <c r="K41" i="52"/>
  <c r="E111" i="1" s="1"/>
  <c r="K42" i="52"/>
  <c r="E112" i="1" s="1"/>
  <c r="K43" i="52"/>
  <c r="E113" i="1" s="1"/>
  <c r="K44" i="52"/>
  <c r="E114" i="1" s="1"/>
  <c r="K45" i="52"/>
  <c r="E115" i="1" s="1"/>
  <c r="K46" i="52"/>
  <c r="E116" i="1" s="1"/>
  <c r="K47" i="52"/>
  <c r="E117" i="1" s="1"/>
  <c r="K48" i="52"/>
  <c r="E118" i="1" s="1"/>
  <c r="K49" i="52"/>
  <c r="E119" i="1" s="1"/>
  <c r="K50" i="52"/>
  <c r="K51" i="52"/>
  <c r="K52" i="52"/>
  <c r="K53" i="52"/>
  <c r="K54" i="52"/>
  <c r="K55" i="52"/>
  <c r="K56" i="52"/>
  <c r="K57" i="52"/>
  <c r="K58" i="52"/>
  <c r="K59" i="52"/>
  <c r="E129" i="1" s="1"/>
  <c r="K60" i="52"/>
  <c r="E130" i="1" s="1"/>
  <c r="K61" i="52"/>
  <c r="E131" i="1" s="1"/>
  <c r="K62" i="52"/>
  <c r="E132" i="1" s="1"/>
  <c r="K63" i="52"/>
  <c r="E133" i="1" s="1"/>
  <c r="K64" i="52"/>
  <c r="E134" i="1" s="1"/>
  <c r="K65" i="52"/>
  <c r="K66" i="52"/>
  <c r="K67" i="52"/>
  <c r="E137" i="1" s="1"/>
  <c r="K68" i="52"/>
  <c r="E138" i="1" s="1"/>
  <c r="K69" i="52"/>
  <c r="E139" i="1" s="1"/>
  <c r="K70" i="52"/>
  <c r="K71" i="52"/>
  <c r="K72" i="52"/>
  <c r="K73" i="52"/>
  <c r="K74" i="52"/>
  <c r="K75" i="52"/>
  <c r="K76" i="52"/>
  <c r="K77" i="52"/>
  <c r="K78" i="52"/>
  <c r="K79" i="52"/>
  <c r="K80" i="52"/>
  <c r="K81" i="52"/>
  <c r="K82" i="52"/>
  <c r="K83" i="52"/>
  <c r="K84" i="52"/>
  <c r="K85" i="52"/>
  <c r="K86" i="52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N12" i="1"/>
  <c r="N13" i="1"/>
  <c r="N14" i="1"/>
  <c r="N15" i="1"/>
  <c r="N91" i="1"/>
  <c r="N95" i="1"/>
  <c r="N98" i="1"/>
  <c r="N99" i="1"/>
  <c r="N100" i="1"/>
  <c r="N101" i="1"/>
  <c r="N102" i="1"/>
  <c r="N103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36" i="1"/>
  <c r="N138" i="1"/>
  <c r="N139" i="1"/>
  <c r="N140" i="1"/>
  <c r="N141" i="1"/>
  <c r="N142" i="1"/>
  <c r="N143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M12" i="1"/>
  <c r="M13" i="1"/>
  <c r="M14" i="1"/>
  <c r="M15" i="1"/>
  <c r="M90" i="1"/>
  <c r="M96" i="1"/>
  <c r="M98" i="1"/>
  <c r="M99" i="1"/>
  <c r="M100" i="1"/>
  <c r="M101" i="1"/>
  <c r="M102" i="1"/>
  <c r="M103" i="1"/>
  <c r="M109" i="1"/>
  <c r="M111" i="1"/>
  <c r="M115" i="1"/>
  <c r="M118" i="1"/>
  <c r="M119" i="1"/>
  <c r="M120" i="1"/>
  <c r="M121" i="1"/>
  <c r="M122" i="1"/>
  <c r="M123" i="1"/>
  <c r="M129" i="1"/>
  <c r="M130" i="1"/>
  <c r="M131" i="1"/>
  <c r="M132" i="1"/>
  <c r="M133" i="1"/>
  <c r="M134" i="1"/>
  <c r="M136" i="1"/>
  <c r="M138" i="1"/>
  <c r="M139" i="1"/>
  <c r="M140" i="1"/>
  <c r="M141" i="1"/>
  <c r="M142" i="1"/>
  <c r="M143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L7" i="1"/>
  <c r="L8" i="1"/>
  <c r="L9" i="1"/>
  <c r="L10" i="1"/>
  <c r="L11" i="1"/>
  <c r="L12" i="1"/>
  <c r="L13" i="1"/>
  <c r="L14" i="1"/>
  <c r="L15" i="1"/>
  <c r="L16" i="1"/>
  <c r="L17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K14" i="1"/>
  <c r="K15" i="1"/>
  <c r="K16" i="1"/>
  <c r="K17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8" i="1"/>
  <c r="K125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J12" i="1"/>
  <c r="J13" i="1"/>
  <c r="J15" i="1"/>
  <c r="J16" i="1"/>
  <c r="J17" i="1"/>
  <c r="J92" i="1"/>
  <c r="J93" i="1"/>
  <c r="J94" i="1"/>
  <c r="J95" i="1"/>
  <c r="J101" i="1"/>
  <c r="J102" i="1"/>
  <c r="J103" i="1"/>
  <c r="J104" i="1"/>
  <c r="J105" i="1"/>
  <c r="J107" i="1"/>
  <c r="J111" i="1"/>
  <c r="J112" i="1"/>
  <c r="J113" i="1"/>
  <c r="J114" i="1"/>
  <c r="J115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I11" i="1"/>
  <c r="I12" i="1"/>
  <c r="I13" i="1"/>
  <c r="I14" i="1"/>
  <c r="I15" i="1"/>
  <c r="I16" i="1"/>
  <c r="I17" i="1"/>
  <c r="I87" i="1"/>
  <c r="I88" i="1"/>
  <c r="I89" i="1"/>
  <c r="I91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9" i="1"/>
  <c r="I120" i="1"/>
  <c r="I121" i="1"/>
  <c r="I122" i="1"/>
  <c r="I123" i="1"/>
  <c r="I124" i="1"/>
  <c r="I125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F12" i="1"/>
  <c r="F13" i="1"/>
  <c r="F14" i="1"/>
  <c r="F15" i="1"/>
  <c r="F16" i="1"/>
  <c r="F17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E11" i="1"/>
  <c r="E12" i="1"/>
  <c r="E13" i="1"/>
  <c r="E14" i="1"/>
  <c r="E15" i="1"/>
  <c r="E16" i="1"/>
  <c r="E17" i="1"/>
  <c r="E87" i="1"/>
  <c r="E88" i="1"/>
  <c r="E100" i="1"/>
  <c r="E101" i="1"/>
  <c r="E102" i="1"/>
  <c r="E103" i="1"/>
  <c r="E104" i="1"/>
  <c r="E105" i="1"/>
  <c r="E106" i="1"/>
  <c r="E107" i="1"/>
  <c r="E108" i="1"/>
  <c r="E120" i="1"/>
  <c r="E121" i="1"/>
  <c r="E122" i="1"/>
  <c r="E123" i="1"/>
  <c r="E124" i="1"/>
  <c r="E125" i="1"/>
  <c r="E126" i="1"/>
  <c r="E127" i="1"/>
  <c r="E128" i="1"/>
  <c r="E135" i="1"/>
  <c r="E136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C7" i="1"/>
  <c r="C8" i="1"/>
  <c r="C9" i="1"/>
  <c r="C10" i="1"/>
  <c r="C11" i="1"/>
  <c r="C12" i="1"/>
  <c r="C13" i="1"/>
  <c r="C14" i="1"/>
  <c r="C15" i="1"/>
  <c r="C16" i="1"/>
  <c r="C17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B7" i="1"/>
  <c r="B8" i="1"/>
  <c r="B9" i="1"/>
  <c r="B10" i="1"/>
  <c r="B11" i="1"/>
  <c r="B12" i="1"/>
  <c r="B13" i="1"/>
  <c r="B14" i="1"/>
  <c r="B15" i="1"/>
  <c r="B16" i="1"/>
  <c r="B17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C161" i="1"/>
  <c r="C162" i="1"/>
  <c r="C163" i="1"/>
  <c r="C164" i="1"/>
  <c r="C165" i="1"/>
  <c r="C166" i="1"/>
  <c r="C167" i="1"/>
  <c r="C168" i="1"/>
  <c r="E161" i="1"/>
  <c r="E162" i="1"/>
  <c r="E163" i="1"/>
  <c r="E164" i="1"/>
  <c r="E165" i="1"/>
  <c r="E166" i="1"/>
  <c r="E167" i="1"/>
  <c r="E168" i="1"/>
  <c r="F161" i="1"/>
  <c r="F162" i="1"/>
  <c r="F163" i="1"/>
  <c r="F164" i="1"/>
  <c r="F165" i="1"/>
  <c r="F166" i="1"/>
  <c r="F167" i="1"/>
  <c r="F168" i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I161" i="1"/>
  <c r="I162" i="1"/>
  <c r="I163" i="1"/>
  <c r="I164" i="1"/>
  <c r="I165" i="1"/>
  <c r="I166" i="1"/>
  <c r="I167" i="1"/>
  <c r="I168" i="1"/>
  <c r="J161" i="1"/>
  <c r="J162" i="1"/>
  <c r="J163" i="1"/>
  <c r="J164" i="1"/>
  <c r="J165" i="1"/>
  <c r="J166" i="1"/>
  <c r="J167" i="1"/>
  <c r="J168" i="1"/>
  <c r="K161" i="1"/>
  <c r="K162" i="1"/>
  <c r="K163" i="1"/>
  <c r="K164" i="1"/>
  <c r="K165" i="1"/>
  <c r="K166" i="1"/>
  <c r="K167" i="1"/>
  <c r="K168" i="1"/>
  <c r="L161" i="1"/>
  <c r="L162" i="1"/>
  <c r="L163" i="1"/>
  <c r="L164" i="1"/>
  <c r="L165" i="1"/>
  <c r="L166" i="1"/>
  <c r="L167" i="1"/>
  <c r="L168" i="1"/>
  <c r="M161" i="1"/>
  <c r="M162" i="1"/>
  <c r="M163" i="1"/>
  <c r="M164" i="1"/>
  <c r="M165" i="1"/>
  <c r="M166" i="1"/>
  <c r="M167" i="1"/>
  <c r="M168" i="1"/>
  <c r="N161" i="1"/>
  <c r="N162" i="1"/>
  <c r="N163" i="1"/>
  <c r="N164" i="1"/>
  <c r="N165" i="1"/>
  <c r="N166" i="1"/>
  <c r="N167" i="1"/>
  <c r="N168" i="1"/>
  <c r="O161" i="1"/>
  <c r="O162" i="1"/>
  <c r="O163" i="1"/>
  <c r="O164" i="1"/>
  <c r="O165" i="1"/>
  <c r="O166" i="1"/>
  <c r="O167" i="1"/>
  <c r="O168" i="1"/>
  <c r="M9" i="1" l="1"/>
  <c r="M7" i="1"/>
  <c r="M8" i="1"/>
  <c r="K140" i="1"/>
  <c r="K136" i="1"/>
  <c r="K143" i="1"/>
  <c r="K123" i="1"/>
  <c r="K142" i="1"/>
  <c r="K121" i="1"/>
  <c r="K138" i="1"/>
  <c r="K139" i="1"/>
  <c r="K141" i="1"/>
  <c r="K134" i="1"/>
  <c r="K133" i="1"/>
  <c r="K129" i="1"/>
  <c r="K122" i="1"/>
  <c r="K120" i="1"/>
  <c r="K119" i="1"/>
  <c r="K135" i="1"/>
  <c r="Q38" i="52"/>
  <c r="N108" i="1" s="1"/>
  <c r="M108" i="1"/>
  <c r="Q18" i="52"/>
  <c r="N88" i="1" s="1"/>
  <c r="M88" i="1"/>
  <c r="Q37" i="52"/>
  <c r="N107" i="1" s="1"/>
  <c r="M107" i="1"/>
  <c r="M95" i="1"/>
  <c r="Q36" i="52"/>
  <c r="N106" i="1" s="1"/>
  <c r="M106" i="1"/>
  <c r="Q16" i="52"/>
  <c r="M17" i="1"/>
  <c r="M94" i="1"/>
  <c r="Q35" i="52"/>
  <c r="N105" i="1" s="1"/>
  <c r="M105" i="1"/>
  <c r="M93" i="1"/>
  <c r="Q74" i="52"/>
  <c r="N144" i="1" s="1"/>
  <c r="M144" i="1"/>
  <c r="Q54" i="52"/>
  <c r="N124" i="1" s="1"/>
  <c r="M124" i="1"/>
  <c r="M117" i="1"/>
  <c r="M92" i="1"/>
  <c r="M116" i="1"/>
  <c r="M91" i="1"/>
  <c r="M114" i="1"/>
  <c r="M89" i="1"/>
  <c r="M113" i="1"/>
  <c r="M137" i="1"/>
  <c r="M112" i="1"/>
  <c r="M135" i="1"/>
  <c r="M110" i="1"/>
  <c r="R68" i="52"/>
  <c r="R69" i="52"/>
  <c r="R67" i="52"/>
  <c r="R73" i="52"/>
  <c r="R72" i="52"/>
  <c r="R71" i="52"/>
  <c r="R70" i="52"/>
  <c r="O140" i="1" s="1"/>
  <c r="R48" i="52"/>
  <c r="R45" i="52"/>
  <c r="R26" i="52"/>
  <c r="R7" i="52"/>
  <c r="O7" i="1" s="1"/>
  <c r="R33" i="52"/>
  <c r="R29" i="52"/>
  <c r="R37" i="52"/>
  <c r="R30" i="52"/>
  <c r="R5" i="52"/>
  <c r="R32" i="52"/>
  <c r="R23" i="52"/>
  <c r="Q58" i="52"/>
  <c r="R18" i="52"/>
  <c r="R22" i="52"/>
  <c r="R21" i="52"/>
  <c r="Q56" i="52"/>
  <c r="R20" i="52"/>
  <c r="Q17" i="52"/>
  <c r="R14" i="52"/>
  <c r="Q11" i="52"/>
  <c r="Q10" i="52"/>
  <c r="R10" i="52" s="1"/>
  <c r="R42" i="52"/>
  <c r="R40" i="52"/>
  <c r="R39" i="52"/>
  <c r="R9" i="52"/>
  <c r="R38" i="52"/>
  <c r="R8" i="52"/>
  <c r="O8" i="1" s="1"/>
  <c r="N8" i="1"/>
  <c r="R52" i="52"/>
  <c r="R53" i="52"/>
  <c r="Q15" i="52"/>
  <c r="R51" i="52"/>
  <c r="R31" i="52"/>
  <c r="R13" i="52"/>
  <c r="O13" i="1" s="1"/>
  <c r="R50" i="52"/>
  <c r="Q4" i="52"/>
  <c r="R4" i="52" s="1"/>
  <c r="O4" i="1" s="1"/>
  <c r="R47" i="52"/>
  <c r="R28" i="52"/>
  <c r="R46" i="52"/>
  <c r="R66" i="52"/>
  <c r="O136" i="1" s="1"/>
  <c r="Q64" i="52"/>
  <c r="R65" i="52"/>
  <c r="R44" i="52"/>
  <c r="R25" i="52"/>
  <c r="R43" i="52"/>
  <c r="R24" i="52"/>
  <c r="R12" i="52"/>
  <c r="O12" i="1" s="1"/>
  <c r="Q57" i="52"/>
  <c r="R63" i="52"/>
  <c r="R41" i="52"/>
  <c r="Q55" i="52"/>
  <c r="R61" i="52"/>
  <c r="R60" i="52"/>
  <c r="O130" i="1" s="1"/>
  <c r="R59" i="52"/>
  <c r="R19" i="52"/>
  <c r="R6" i="52"/>
  <c r="O6" i="1" s="1"/>
  <c r="Q34" i="52"/>
  <c r="R36" i="52"/>
  <c r="K11" i="1"/>
  <c r="K10" i="1"/>
  <c r="M11" i="1"/>
  <c r="R49" i="52"/>
  <c r="N10" i="1"/>
  <c r="Q27" i="52"/>
  <c r="Q83" i="52"/>
  <c r="Q62" i="52"/>
  <c r="B5" i="1"/>
  <c r="B6" i="1"/>
  <c r="C5" i="1"/>
  <c r="E5" i="1"/>
  <c r="E6" i="1"/>
  <c r="F5" i="1"/>
  <c r="F6" i="1"/>
  <c r="G5" i="1"/>
  <c r="H5" i="1" s="1"/>
  <c r="G6" i="1"/>
  <c r="H6" i="1" s="1"/>
  <c r="I5" i="1"/>
  <c r="I6" i="1"/>
  <c r="J5" i="1"/>
  <c r="J6" i="1"/>
  <c r="K5" i="1"/>
  <c r="K6" i="1"/>
  <c r="L5" i="1"/>
  <c r="L6" i="1"/>
  <c r="M5" i="1"/>
  <c r="M6" i="1"/>
  <c r="M4" i="1"/>
  <c r="L4" i="1"/>
  <c r="K4" i="1"/>
  <c r="J4" i="1"/>
  <c r="I4" i="1"/>
  <c r="G4" i="1"/>
  <c r="H4" i="1" s="1"/>
  <c r="F4" i="1"/>
  <c r="E4" i="1"/>
  <c r="C4" i="1"/>
  <c r="B4" i="1"/>
  <c r="O14" i="1" l="1"/>
  <c r="O101" i="1"/>
  <c r="O121" i="1"/>
  <c r="O106" i="1"/>
  <c r="O98" i="1"/>
  <c r="O90" i="1"/>
  <c r="O141" i="1"/>
  <c r="O142" i="1"/>
  <c r="O120" i="1"/>
  <c r="O91" i="1"/>
  <c r="O129" i="1"/>
  <c r="O92" i="1"/>
  <c r="O137" i="1"/>
  <c r="O113" i="1"/>
  <c r="O95" i="1"/>
  <c r="O109" i="1"/>
  <c r="O118" i="1"/>
  <c r="O94" i="1"/>
  <c r="O108" i="1"/>
  <c r="O116" i="1"/>
  <c r="O93" i="1"/>
  <c r="O111" i="1"/>
  <c r="O102" i="1"/>
  <c r="O114" i="1"/>
  <c r="O117" i="1"/>
  <c r="O89" i="1"/>
  <c r="O88" i="1"/>
  <c r="O139" i="1"/>
  <c r="O138" i="1"/>
  <c r="O122" i="1"/>
  <c r="O100" i="1"/>
  <c r="O107" i="1"/>
  <c r="O99" i="1"/>
  <c r="O119" i="1"/>
  <c r="O135" i="1"/>
  <c r="O110" i="1"/>
  <c r="O112" i="1"/>
  <c r="O115" i="1"/>
  <c r="R56" i="52"/>
  <c r="N126" i="1"/>
  <c r="R27" i="52"/>
  <c r="O97" i="1" s="1"/>
  <c r="N97" i="1"/>
  <c r="R57" i="52"/>
  <c r="N127" i="1"/>
  <c r="R16" i="52"/>
  <c r="N17" i="1"/>
  <c r="R35" i="52"/>
  <c r="O105" i="1" s="1"/>
  <c r="R62" i="52"/>
  <c r="O132" i="1" s="1"/>
  <c r="N132" i="1"/>
  <c r="R55" i="52"/>
  <c r="N125" i="1"/>
  <c r="R15" i="52"/>
  <c r="N16" i="1"/>
  <c r="R64" i="52"/>
  <c r="O134" i="1" s="1"/>
  <c r="N134" i="1"/>
  <c r="R17" i="52"/>
  <c r="O87" i="1" s="1"/>
  <c r="N87" i="1"/>
  <c r="R74" i="52"/>
  <c r="O144" i="1" s="1"/>
  <c r="R34" i="52"/>
  <c r="O103" i="1" s="1"/>
  <c r="N104" i="1"/>
  <c r="N4" i="1"/>
  <c r="R58" i="52"/>
  <c r="O128" i="1" s="1"/>
  <c r="N128" i="1"/>
  <c r="R54" i="52"/>
  <c r="O123" i="1" s="1"/>
  <c r="R11" i="52"/>
  <c r="O11" i="1" s="1"/>
  <c r="N11" i="1"/>
  <c r="O10" i="1"/>
  <c r="O9" i="1"/>
  <c r="N9" i="1"/>
  <c r="O5" i="1"/>
  <c r="N6" i="1"/>
  <c r="N5" i="1"/>
  <c r="C6" i="1"/>
  <c r="O127" i="1" l="1"/>
  <c r="O96" i="1"/>
  <c r="O125" i="1"/>
  <c r="O16" i="1"/>
  <c r="O15" i="1"/>
  <c r="O133" i="1"/>
  <c r="O17" i="1"/>
  <c r="O124" i="1"/>
  <c r="O131" i="1"/>
  <c r="O143" i="1"/>
  <c r="O104" i="1"/>
  <c r="O1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5DE2B7-AA39-47A4-90A0-EB957345028D}" keepAlive="1" name="Query - E-Invoice" description="Connection to the 'E-Invoice' query in the workbook." type="5" refreshedVersion="0" background="1">
    <dbPr connection="Provider=Microsoft.Mashup.OleDb.1;Data Source=$Workbook$;Location=E-Invoice;Extended Properties=&quot;&quot;" command="SELECT * FROM [E-Invoi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<sst xmlns="http://schemas.openxmlformats.org/spreadsheetml/2006/main" count="485" uniqueCount="154">
  <si>
    <t>CustomerName</t>
  </si>
  <si>
    <t>AttachmentPath</t>
  </si>
  <si>
    <t>InvoiceNo</t>
  </si>
  <si>
    <t>InvoiceType</t>
  </si>
  <si>
    <t>SenderName</t>
  </si>
  <si>
    <t>SenderEmail</t>
  </si>
  <si>
    <t>InvAmount</t>
  </si>
  <si>
    <t>GST1</t>
  </si>
  <si>
    <t>GST2</t>
  </si>
  <si>
    <t>InvTotal</t>
  </si>
  <si>
    <t>{{GST1}}</t>
  </si>
  <si>
    <t>{{InvTotal}}</t>
  </si>
  <si>
    <t>Kindly release the payment  (through RTGS only) within 7 days of the receipt of Invoice. Please deduct the TDS.</t>
  </si>
  <si>
    <t>Kindly send us the payment details in the below format:</t>
  </si>
  <si>
    <t>If the Payment is not made with in the Due Date, 18% Interest will be Levied as per the Agreement.</t>
  </si>
  <si>
    <t>Regards,</t>
  </si>
  <si>
    <t>CustomerEmail</t>
  </si>
  <si>
    <t>Company</t>
  </si>
  <si>
    <t>Brand</t>
  </si>
  <si>
    <t>EmailCC</t>
  </si>
  <si>
    <t>{{InvoiceNo}}</t>
  </si>
  <si>
    <t>{{InvAmount}}</t>
  </si>
  <si>
    <t>{{GST2}}</t>
  </si>
  <si>
    <t>Dear {{CustomerName}},</t>
  </si>
  <si>
    <t>Invoice No</t>
  </si>
  <si>
    <t>CGST</t>
  </si>
  <si>
    <t>SGST</t>
  </si>
  <si>
    <t>Customer Email</t>
  </si>
  <si>
    <t>Sent by</t>
  </si>
  <si>
    <t>Sent Status</t>
  </si>
  <si>
    <t>Sent On</t>
  </si>
  <si>
    <t>Sl. No</t>
  </si>
  <si>
    <t>Electricity</t>
  </si>
  <si>
    <t>Invoice
No</t>
  </si>
  <si>
    <t>Invoice
Amount</t>
  </si>
  <si>
    <t>Invoice
Total</t>
  </si>
  <si>
    <t>Invoice
Number</t>
  </si>
  <si>
    <t>Invoice
Base Amount</t>
  </si>
  <si>
    <t>GST
Amount</t>
  </si>
  <si>
    <t xml:space="preserve">TDS
Deducted </t>
  </si>
  <si>
    <t>Total
Receivable</t>
  </si>
  <si>
    <t>Received
Amount</t>
  </si>
  <si>
    <t>InvoicePeriod</t>
  </si>
  <si>
    <t>Brand Name</t>
  </si>
  <si>
    <t>Sl No</t>
  </si>
  <si>
    <t>Invoice
Date</t>
  </si>
  <si>
    <t>{{InvoiceDate}}</t>
  </si>
  <si>
    <t>InvoiceDate</t>
  </si>
  <si>
    <t>{{SenderName}}</t>
  </si>
  <si>
    <t>Units</t>
  </si>
  <si>
    <t>InvoiceAttachmentPath</t>
  </si>
  <si>
    <t>AnnexureAttachmentPath</t>
  </si>
  <si>
    <t>Invoice File Name</t>
  </si>
  <si>
    <t>Annexure File Name</t>
  </si>
  <si>
    <t>{{Units}}</t>
  </si>
  <si>
    <t>Annexure</t>
  </si>
  <si>
    <t>Rent</t>
  </si>
  <si>
    <t>Email ID</t>
  </si>
  <si>
    <t>CC</t>
  </si>
  <si>
    <t>Water</t>
  </si>
  <si>
    <t>CAM</t>
  </si>
  <si>
    <t/>
  </si>
  <si>
    <t>Please find attached the {{InvoiceType}} invoice for the month of {{InvoicePeriod}}.</t>
  </si>
  <si>
    <t>Units Consumed</t>
  </si>
  <si>
    <t>Unit Rate</t>
  </si>
  <si>
    <t>UnitRate</t>
  </si>
  <si>
    <t>{{UnitRate}}</t>
  </si>
  <si>
    <t>Invoice Number</t>
  </si>
  <si>
    <t>Invoice FileName</t>
  </si>
  <si>
    <t>Annexure FileName</t>
  </si>
  <si>
    <t>Mode</t>
  </si>
  <si>
    <t>Selection</t>
  </si>
  <si>
    <t>Remarks</t>
  </si>
  <si>
    <t>Email Mode</t>
  </si>
  <si>
    <t>Preview Mode</t>
  </si>
  <si>
    <t>Preview Limit</t>
  </si>
  <si>
    <t>Preview</t>
  </si>
  <si>
    <t>Send</t>
  </si>
  <si>
    <t>Batch</t>
  </si>
  <si>
    <t>Selected Row</t>
  </si>
  <si>
    <t>Select 'Preview' or 'Send'</t>
  </si>
  <si>
    <t>Automatic Invoice Diapatch Engine</t>
  </si>
  <si>
    <t>FilesPath:</t>
  </si>
  <si>
    <t>Dispatch Run Log</t>
  </si>
  <si>
    <t>Last Run Executed on :</t>
  </si>
  <si>
    <t>Invoices Processed:</t>
  </si>
  <si>
    <t>Invoices Previewed:</t>
  </si>
  <si>
    <t>Invoices Sent:</t>
  </si>
  <si>
    <t>Errors Occured:</t>
  </si>
  <si>
    <t>Edit Email Template</t>
  </si>
  <si>
    <t>Total Records:</t>
  </si>
  <si>
    <t>Navigation Pane</t>
  </si>
  <si>
    <t>ABCD Ltd</t>
  </si>
  <si>
    <t>EFGGH Ltd</t>
  </si>
  <si>
    <t>LKJAHSDFKJHASDF Ltd</t>
  </si>
  <si>
    <t>LKAHSDFKJHNVKJD Ltd</t>
  </si>
  <si>
    <t>FJKEIISOOS Ltd</t>
  </si>
  <si>
    <t>VNJKDKJKOWOODJH Ltd</t>
  </si>
  <si>
    <t>DJNBNSLKLKWO Ltd</t>
  </si>
  <si>
    <t>ALWOEODKCEDK Ltd</t>
  </si>
  <si>
    <t>XXXXLKDDDDDDD LTD</t>
  </si>
  <si>
    <t>QWIKDQPLKDN LTD</t>
  </si>
  <si>
    <t>CUSTOMER NAME</t>
  </si>
  <si>
    <t>LOCATION</t>
  </si>
  <si>
    <t>HYDERABAD</t>
  </si>
  <si>
    <t>DELHI</t>
  </si>
  <si>
    <t>AGRA</t>
  </si>
  <si>
    <t>CHENNAI</t>
  </si>
  <si>
    <t xml:space="preserve"> BENGALURU</t>
  </si>
  <si>
    <t>PUNE</t>
  </si>
  <si>
    <t>MUMBAI</t>
  </si>
  <si>
    <t>VIJAYAWADA</t>
  </si>
  <si>
    <t>VIZAG</t>
  </si>
  <si>
    <t>KOLKATA</t>
  </si>
  <si>
    <t>TEA</t>
  </si>
  <si>
    <t>OIL</t>
  </si>
  <si>
    <t>COSMETICS</t>
  </si>
  <si>
    <t>RICE</t>
  </si>
  <si>
    <t>PULSES</t>
  </si>
  <si>
    <t>SERVICES</t>
  </si>
  <si>
    <t>abc@gmail.com</t>
  </si>
  <si>
    <t>INV001</t>
  </si>
  <si>
    <t>INV002</t>
  </si>
  <si>
    <t>INV003</t>
  </si>
  <si>
    <t>INV004</t>
  </si>
  <si>
    <t>INV005</t>
  </si>
  <si>
    <t>INV006</t>
  </si>
  <si>
    <t>INV007</t>
  </si>
  <si>
    <t>INV008</t>
  </si>
  <si>
    <t>INV009</t>
  </si>
  <si>
    <t>INV010</t>
  </si>
  <si>
    <t>Location</t>
  </si>
  <si>
    <t>Yes</t>
  </si>
  <si>
    <t>INV001-Electricity-Jan'25-DELHI-ABCD Ltd(TEA)</t>
  </si>
  <si>
    <t>INV002-Electricity-Jan'25-HYDERABAD-EFGGH Ltd(OIL)</t>
  </si>
  <si>
    <t>INV003-Electricity-Jan'25-AGRA-LKJAHSDFKJHASDF Ltd(COSMETICS)</t>
  </si>
  <si>
    <t>INV004-Electricity-Jan'25-CHENNAI-LKAHSDFKJHNVKJD Ltd(TEA)</t>
  </si>
  <si>
    <t>INV005-Water-Jan'25- BENGALURU-FJKEIISOOS Ltd(TEA)</t>
  </si>
  <si>
    <t>INV006-Water-Jan'25-PUNE-VNJKDKJKOWOODJH Ltd(RICE)</t>
  </si>
  <si>
    <t>INV007-Water-Jan'25-MUMBAI-DJNBNSLKLKWO Ltd(RICE)</t>
  </si>
  <si>
    <t>INV008-Rent-Jan'25-VIJAYAWADA-ALWOEODKCEDK Ltd(PULSES)</t>
  </si>
  <si>
    <t>INV009-Rent-Jan'25-VIZAG-XXXXLKDDDDDDD LTD(SERVICES)</t>
  </si>
  <si>
    <t>INV010-Rent-Jan'25-KOLKATA-QWIKDQPLKDN LTD(SERVICES)</t>
  </si>
  <si>
    <t>INV005-Jan'25-FJKEIISOOS Ltd(TEA)-Annexure</t>
  </si>
  <si>
    <t>INV006-Jan'25-VNJKDKJKOWOODJH Ltd(RICE)-Annexure</t>
  </si>
  <si>
    <t>INV007-Jan'25-DJNBNSLKLKWO Ltd(RICE)-Annexure</t>
  </si>
  <si>
    <t>1234 Ltd</t>
  </si>
  <si>
    <t>Hyderabad</t>
  </si>
  <si>
    <t>Tel: +91 40 11111111</t>
  </si>
  <si>
    <t>Mobile : +91 1234567890</t>
  </si>
  <si>
    <t>XXXXX</t>
  </si>
  <si>
    <t>Sender Email</t>
  </si>
  <si>
    <t>fhkdslk@outlook.com</t>
  </si>
  <si>
    <t>Sender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</si>
</sst>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₹&quot;\ #,##0"/>
    <numFmt numFmtId="165" formatCode="&quot;₹&quot;\ #,##0.00"/>
    <numFmt numFmtId="166" formatCode="#,##0_ ;\-#,##0\ "/>
    <numFmt numFmtId="167" formatCode="dd/mm/yyyy&quot; - &quot;hh:mm\ AM/PM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b/>
      <sz val="9"/>
      <color rgb="FF2F5597"/>
      <name val="Tahoma"/>
      <family val="2"/>
    </font>
    <font>
      <sz val="9"/>
      <color rgb="FF000000"/>
      <name val="Tahoma"/>
      <family val="2"/>
    </font>
    <font>
      <sz val="9"/>
      <color rgb="FF2F5597"/>
      <name val="Tahoma"/>
      <family val="2"/>
    </font>
    <font>
      <b/>
      <sz val="9"/>
      <color rgb="FF000000"/>
      <name val="Tahoma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i/>
      <u/>
      <sz val="12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3" fillId="0" borderId="0" xfId="0" applyFont="1"/>
    <xf numFmtId="0" fontId="7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165" fontId="0" fillId="2" borderId="1" xfId="0" applyNumberFormat="1" applyFill="1" applyBorder="1" applyAlignment="1">
      <alignment vertical="center"/>
    </xf>
    <xf numFmtId="3" fontId="0" fillId="2" borderId="1" xfId="0" applyNumberFormat="1" applyFill="1" applyBorder="1" applyAlignment="1">
      <alignment vertical="center"/>
    </xf>
    <xf numFmtId="0" fontId="1" fillId="2" borderId="1" xfId="1" applyFill="1" applyBorder="1" applyAlignment="1">
      <alignment horizontal="left" vertical="center"/>
    </xf>
    <xf numFmtId="164" fontId="0" fillId="2" borderId="1" xfId="0" applyNumberForma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wrapText="1"/>
    </xf>
    <xf numFmtId="0" fontId="13" fillId="4" borderId="0" xfId="0" applyFont="1" applyFill="1" applyAlignment="1">
      <alignment horizontal="center" vertical="center"/>
    </xf>
    <xf numFmtId="0" fontId="11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7" fontId="0" fillId="0" borderId="0" xfId="0" applyNumberFormat="1" applyProtection="1">
      <protection locked="0"/>
    </xf>
    <xf numFmtId="0" fontId="14" fillId="3" borderId="0" xfId="0" applyFont="1" applyFill="1" applyAlignment="1">
      <alignment horizontal="center" vertical="center"/>
    </xf>
    <xf numFmtId="164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0" fontId="0" fillId="8" borderId="6" xfId="0" applyFill="1" applyBorder="1"/>
    <xf numFmtId="0" fontId="0" fillId="8" borderId="9" xfId="0" applyFill="1" applyBorder="1"/>
    <xf numFmtId="0" fontId="0" fillId="8" borderId="2" xfId="0" applyFill="1" applyBorder="1"/>
    <xf numFmtId="0" fontId="0" fillId="8" borderId="0" xfId="0" applyFill="1"/>
    <xf numFmtId="0" fontId="0" fillId="8" borderId="12" xfId="0" applyFill="1" applyBorder="1"/>
    <xf numFmtId="0" fontId="0" fillId="8" borderId="11" xfId="0" applyFill="1" applyBorder="1"/>
    <xf numFmtId="0" fontId="0" fillId="5" borderId="11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0" borderId="1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13" fillId="9" borderId="17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15" fontId="10" fillId="0" borderId="1" xfId="0" applyNumberFormat="1" applyFont="1" applyBorder="1" applyAlignment="1">
      <alignment horizontal="center" vertical="center"/>
    </xf>
    <xf numFmtId="17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3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left" vertical="center"/>
    </xf>
    <xf numFmtId="166" fontId="10" fillId="0" borderId="1" xfId="0" applyNumberFormat="1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15" fontId="10" fillId="0" borderId="0" xfId="0" applyNumberFormat="1" applyFont="1" applyAlignment="1">
      <alignment horizontal="center" vertical="center"/>
    </xf>
    <xf numFmtId="17" fontId="10" fillId="0" borderId="0" xfId="0" applyNumberFormat="1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164" fontId="10" fillId="0" borderId="0" xfId="0" applyNumberFormat="1" applyFont="1" applyAlignment="1">
      <alignment horizontal="left" vertical="center"/>
    </xf>
    <xf numFmtId="0" fontId="0" fillId="5" borderId="0" xfId="0" applyFill="1" applyAlignment="1">
      <alignment horizontal="left"/>
    </xf>
    <xf numFmtId="0" fontId="13" fillId="9" borderId="17" xfId="0" applyFont="1" applyFill="1" applyBorder="1" applyAlignment="1" applyProtection="1">
      <alignment horizontal="center" vertical="center"/>
      <protection locked="0"/>
    </xf>
    <xf numFmtId="0" fontId="1" fillId="0" borderId="1" xfId="1" applyBorder="1" applyAlignment="1">
      <alignment vertical="center" wrapText="1"/>
    </xf>
    <xf numFmtId="0" fontId="0" fillId="10" borderId="1" xfId="0" applyFill="1" applyBorder="1"/>
    <xf numFmtId="0" fontId="16" fillId="7" borderId="13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17" fillId="5" borderId="10" xfId="0" applyFont="1" applyFill="1" applyBorder="1" applyAlignment="1" applyProtection="1">
      <alignment horizontal="center" vertical="center" wrapText="1"/>
      <protection locked="0"/>
    </xf>
    <xf numFmtId="0" fontId="17" fillId="5" borderId="3" xfId="0" applyFont="1" applyFill="1" applyBorder="1" applyAlignment="1" applyProtection="1">
      <alignment horizontal="center" vertical="center" wrapText="1"/>
      <protection locked="0"/>
    </xf>
    <xf numFmtId="0" fontId="18" fillId="7" borderId="7" xfId="0" applyFont="1" applyFill="1" applyBorder="1" applyAlignment="1">
      <alignment horizontal="left" vertical="center"/>
    </xf>
    <xf numFmtId="0" fontId="18" fillId="7" borderId="10" xfId="0" applyFont="1" applyFill="1" applyBorder="1" applyAlignment="1">
      <alignment horizontal="left" vertical="center"/>
    </xf>
    <xf numFmtId="0" fontId="18" fillId="7" borderId="3" xfId="0" applyFont="1" applyFill="1" applyBorder="1" applyAlignment="1">
      <alignment horizontal="left" vertical="center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6" borderId="0" xfId="0" applyFill="1" applyAlignment="1" applyProtection="1">
      <alignment horizontal="center"/>
      <protection locked="0"/>
    </xf>
    <xf numFmtId="0" fontId="15" fillId="7" borderId="0" xfId="0" applyFont="1" applyFill="1" applyAlignment="1">
      <alignment horizontal="center" vertical="center"/>
    </xf>
    <xf numFmtId="0" fontId="0" fillId="6" borderId="8" xfId="0" applyFill="1" applyBorder="1" applyAlignment="1" applyProtection="1">
      <alignment horizontal="center"/>
      <protection locked="0"/>
    </xf>
    <xf numFmtId="167" fontId="2" fillId="0" borderId="7" xfId="0" applyNumberFormat="1" applyFont="1" applyBorder="1" applyAlignment="1" applyProtection="1">
      <alignment horizontal="center" vertical="center"/>
      <protection locked="0"/>
    </xf>
    <xf numFmtId="167" fontId="2" fillId="0" borderId="10" xfId="0" applyNumberFormat="1" applyFont="1" applyBorder="1" applyAlignment="1" applyProtection="1">
      <alignment horizontal="center" vertical="center"/>
      <protection locked="0"/>
    </xf>
    <xf numFmtId="167" fontId="2" fillId="0" borderId="3" xfId="0" applyNumberFormat="1" applyFont="1" applyBorder="1" applyAlignment="1" applyProtection="1">
      <alignment horizontal="center" vertical="center"/>
      <protection locked="0"/>
    </xf>
    <xf numFmtId="0" fontId="18" fillId="7" borderId="0" xfId="0" applyFont="1" applyFill="1" applyAlignment="1">
      <alignment horizontal="center" vertical="center"/>
    </xf>
    <xf numFmtId="0" fontId="20" fillId="5" borderId="7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5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60"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₹&quot;\ #,##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₹&quot;\ #,##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protection locked="0" hidden="0"/>
    </dxf>
    <dxf>
      <protection locked="0" hidden="0"/>
    </dxf>
    <dxf>
      <numFmt numFmtId="3" formatCode="#,##0"/>
      <protection locked="0" hidden="0"/>
    </dxf>
    <dxf>
      <numFmt numFmtId="3" formatCode="#,##0"/>
      <protection locked="0" hidden="0"/>
    </dxf>
    <dxf>
      <numFmt numFmtId="164" formatCode="&quot;₹&quot;\ #,##0"/>
      <protection locked="0" hidden="0"/>
    </dxf>
    <dxf>
      <protection locked="0" hidden="0"/>
    </dxf>
    <dxf>
      <protection locked="0" hidden="0"/>
    </dxf>
    <dxf>
      <numFmt numFmtId="22" formatCode="mmm/yy"/>
      <protection locked="0" hidden="0"/>
    </dxf>
    <dxf>
      <numFmt numFmtId="19" formatCode="dd/mm/yyyy"/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₹&quot;\ 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₹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₹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₹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₹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medium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protection locked="0" hidden="0"/>
    </dxf>
    <dxf>
      <border outline="0"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ustomerData!A1"/><Relationship Id="rId3" Type="http://schemas.openxmlformats.org/officeDocument/2006/relationships/hyperlink" Target="#MailTemplate1!A1"/><Relationship Id="rId7" Type="http://schemas.openxmlformats.org/officeDocument/2006/relationships/hyperlink" Target="#SentLog!A1"/><Relationship Id="rId2" Type="http://schemas.openxmlformats.org/officeDocument/2006/relationships/hyperlink" Target="#MailTemplate2!A1"/><Relationship Id="rId1" Type="http://schemas.openxmlformats.org/officeDocument/2006/relationships/hyperlink" Target="#MailTemplate!A1"/><Relationship Id="rId6" Type="http://schemas.openxmlformats.org/officeDocument/2006/relationships/hyperlink" Target="#DispatchData!A1"/><Relationship Id="rId5" Type="http://schemas.openxmlformats.org/officeDocument/2006/relationships/hyperlink" Target="#FileNames!A1"/><Relationship Id="rId4" Type="http://schemas.openxmlformats.org/officeDocument/2006/relationships/hyperlink" Target="#InvoiceDump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7" Type="http://schemas.openxmlformats.org/officeDocument/2006/relationships/hyperlink" Target="#CustomerData!A1"/><Relationship Id="rId2" Type="http://schemas.openxmlformats.org/officeDocument/2006/relationships/image" Target="../media/image1.png"/><Relationship Id="rId1" Type="http://schemas.openxmlformats.org/officeDocument/2006/relationships/hyperlink" Target="#ControlPanel!A1"/><Relationship Id="rId6" Type="http://schemas.openxmlformats.org/officeDocument/2006/relationships/hyperlink" Target="#SentLog!A1"/><Relationship Id="rId5" Type="http://schemas.openxmlformats.org/officeDocument/2006/relationships/hyperlink" Target="#FileNames!A1"/><Relationship Id="rId4" Type="http://schemas.openxmlformats.org/officeDocument/2006/relationships/hyperlink" Target="#InvoiceDump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entLog!A1"/><Relationship Id="rId7" Type="http://schemas.openxmlformats.org/officeDocument/2006/relationships/image" Target="../media/image2.svg"/><Relationship Id="rId2" Type="http://schemas.openxmlformats.org/officeDocument/2006/relationships/hyperlink" Target="#DispatchData!A1"/><Relationship Id="rId1" Type="http://schemas.openxmlformats.org/officeDocument/2006/relationships/hyperlink" Target="#FileNames!A1"/><Relationship Id="rId6" Type="http://schemas.openxmlformats.org/officeDocument/2006/relationships/image" Target="../media/image1.png"/><Relationship Id="rId5" Type="http://schemas.openxmlformats.org/officeDocument/2006/relationships/hyperlink" Target="#ControlPanel!A1"/><Relationship Id="rId4" Type="http://schemas.openxmlformats.org/officeDocument/2006/relationships/hyperlink" Target="#CustomerDat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ntLog!A1"/><Relationship Id="rId7" Type="http://schemas.openxmlformats.org/officeDocument/2006/relationships/image" Target="../media/image2.svg"/><Relationship Id="rId2" Type="http://schemas.openxmlformats.org/officeDocument/2006/relationships/hyperlink" Target="#DispatchData!A1"/><Relationship Id="rId1" Type="http://schemas.openxmlformats.org/officeDocument/2006/relationships/hyperlink" Target="#InvoiceDump!A1"/><Relationship Id="rId6" Type="http://schemas.openxmlformats.org/officeDocument/2006/relationships/image" Target="../media/image1.png"/><Relationship Id="rId5" Type="http://schemas.openxmlformats.org/officeDocument/2006/relationships/hyperlink" Target="#ControlPanel!A1"/><Relationship Id="rId4" Type="http://schemas.openxmlformats.org/officeDocument/2006/relationships/hyperlink" Target="#CustomerDat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7" Type="http://schemas.openxmlformats.org/officeDocument/2006/relationships/hyperlink" Target="#CustomerData!A1"/><Relationship Id="rId2" Type="http://schemas.openxmlformats.org/officeDocument/2006/relationships/image" Target="../media/image1.png"/><Relationship Id="rId1" Type="http://schemas.openxmlformats.org/officeDocument/2006/relationships/hyperlink" Target="#ControlPanel!A1"/><Relationship Id="rId6" Type="http://schemas.openxmlformats.org/officeDocument/2006/relationships/hyperlink" Target="#DispatchData!A1"/><Relationship Id="rId5" Type="http://schemas.openxmlformats.org/officeDocument/2006/relationships/hyperlink" Target="#FileNames!A1"/><Relationship Id="rId4" Type="http://schemas.openxmlformats.org/officeDocument/2006/relationships/hyperlink" Target="#InvoiceDump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ispatchData!A1"/><Relationship Id="rId7" Type="http://schemas.openxmlformats.org/officeDocument/2006/relationships/image" Target="../media/image2.svg"/><Relationship Id="rId2" Type="http://schemas.openxmlformats.org/officeDocument/2006/relationships/hyperlink" Target="#FileNames!A1"/><Relationship Id="rId1" Type="http://schemas.openxmlformats.org/officeDocument/2006/relationships/hyperlink" Target="#InvoiceDump!A1"/><Relationship Id="rId6" Type="http://schemas.openxmlformats.org/officeDocument/2006/relationships/image" Target="../media/image1.png"/><Relationship Id="rId5" Type="http://schemas.openxmlformats.org/officeDocument/2006/relationships/hyperlink" Target="#ControlPanel!A1"/><Relationship Id="rId4" Type="http://schemas.openxmlformats.org/officeDocument/2006/relationships/hyperlink" Target="#SentLog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ontrolPanel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ontrolPanel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ontrolPanel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</xdr:colOff>
          <xdr:row>12</xdr:row>
          <xdr:rowOff>30480</xdr:rowOff>
        </xdr:from>
        <xdr:to>
          <xdr:col>8</xdr:col>
          <xdr:colOff>769620</xdr:colOff>
          <xdr:row>13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35861</xdr:colOff>
      <xdr:row>24</xdr:row>
      <xdr:rowOff>134470</xdr:rowOff>
    </xdr:from>
    <xdr:to>
      <xdr:col>3</xdr:col>
      <xdr:colOff>654426</xdr:colOff>
      <xdr:row>26</xdr:row>
      <xdr:rowOff>125506</xdr:rowOff>
    </xdr:to>
    <xdr:sp macro="" textlink="">
      <xdr:nvSpPr>
        <xdr:cNvPr id="2" name="Wav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DD9FA-E51F-CDF3-E432-097A4DE4662A}"/>
            </a:ext>
          </a:extLst>
        </xdr:cNvPr>
        <xdr:cNvSpPr/>
      </xdr:nvSpPr>
      <xdr:spPr>
        <a:xfrm>
          <a:off x="1255061" y="4715435"/>
          <a:ext cx="1479177" cy="349624"/>
        </a:xfrm>
        <a:prstGeom prst="wave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</a:rPr>
            <a:t>Electricity</a:t>
          </a:r>
        </a:p>
      </xdr:txBody>
    </xdr:sp>
    <xdr:clientData/>
  </xdr:twoCellAnchor>
  <xdr:twoCellAnchor>
    <xdr:from>
      <xdr:col>4</xdr:col>
      <xdr:colOff>582708</xdr:colOff>
      <xdr:row>24</xdr:row>
      <xdr:rowOff>134470</xdr:rowOff>
    </xdr:from>
    <xdr:to>
      <xdr:col>6</xdr:col>
      <xdr:colOff>179297</xdr:colOff>
      <xdr:row>26</xdr:row>
      <xdr:rowOff>125506</xdr:rowOff>
    </xdr:to>
    <xdr:sp macro="" textlink="">
      <xdr:nvSpPr>
        <xdr:cNvPr id="3" name="Wav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923E28-FE3C-41CA-8FD4-E0B075FB3B54}"/>
            </a:ext>
          </a:extLst>
        </xdr:cNvPr>
        <xdr:cNvSpPr/>
      </xdr:nvSpPr>
      <xdr:spPr>
        <a:xfrm>
          <a:off x="3451414" y="4715435"/>
          <a:ext cx="1479177" cy="349624"/>
        </a:xfrm>
        <a:prstGeom prst="wave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bg1"/>
              </a:solidFill>
              <a:latin typeface="+mn-lt"/>
              <a:ea typeface="+mn-ea"/>
              <a:cs typeface="+mn-cs"/>
            </a:rPr>
            <a:t>Water</a:t>
          </a:r>
        </a:p>
      </xdr:txBody>
    </xdr:sp>
    <xdr:clientData/>
  </xdr:twoCellAnchor>
  <xdr:twoCellAnchor>
    <xdr:from>
      <xdr:col>7</xdr:col>
      <xdr:colOff>107578</xdr:colOff>
      <xdr:row>24</xdr:row>
      <xdr:rowOff>134470</xdr:rowOff>
    </xdr:from>
    <xdr:to>
      <xdr:col>9</xdr:col>
      <xdr:colOff>8967</xdr:colOff>
      <xdr:row>26</xdr:row>
      <xdr:rowOff>125506</xdr:rowOff>
    </xdr:to>
    <xdr:sp macro="" textlink="">
      <xdr:nvSpPr>
        <xdr:cNvPr id="4" name="Wav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8F7132-DEB2-482A-9159-7A40EE24DE52}"/>
            </a:ext>
          </a:extLst>
        </xdr:cNvPr>
        <xdr:cNvSpPr/>
      </xdr:nvSpPr>
      <xdr:spPr>
        <a:xfrm>
          <a:off x="5647766" y="4715435"/>
          <a:ext cx="1479177" cy="349624"/>
        </a:xfrm>
        <a:prstGeom prst="wave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bg1"/>
              </a:solidFill>
              <a:latin typeface="+mn-lt"/>
              <a:ea typeface="+mn-ea"/>
              <a:cs typeface="+mn-cs"/>
            </a:rPr>
            <a:t>Others</a:t>
          </a:r>
        </a:p>
      </xdr:txBody>
    </xdr:sp>
    <xdr:clientData/>
  </xdr:twoCellAnchor>
  <xdr:twoCellAnchor>
    <xdr:from>
      <xdr:col>4</xdr:col>
      <xdr:colOff>632463</xdr:colOff>
      <xdr:row>9</xdr:row>
      <xdr:rowOff>44822</xdr:rowOff>
    </xdr:from>
    <xdr:to>
      <xdr:col>6</xdr:col>
      <xdr:colOff>129542</xdr:colOff>
      <xdr:row>10</xdr:row>
      <xdr:rowOff>143435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F81917E-C259-461E-AD93-3B1365B44863}"/>
            </a:ext>
          </a:extLst>
        </xdr:cNvPr>
        <xdr:cNvSpPr/>
      </xdr:nvSpPr>
      <xdr:spPr>
        <a:xfrm>
          <a:off x="3501169" y="1775010"/>
          <a:ext cx="1379667" cy="277907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bg1"/>
              </a:solidFill>
              <a:latin typeface="+mn-lt"/>
              <a:ea typeface="+mn-ea"/>
              <a:cs typeface="+mn-cs"/>
            </a:rPr>
            <a:t>Enter</a:t>
          </a:r>
          <a:r>
            <a:rPr lang="en-IN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Data</a:t>
          </a:r>
          <a:endParaRPr lang="en-IN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506505</xdr:colOff>
      <xdr:row>16</xdr:row>
      <xdr:rowOff>125507</xdr:rowOff>
    </xdr:from>
    <xdr:to>
      <xdr:col>9</xdr:col>
      <xdr:colOff>296717</xdr:colOff>
      <xdr:row>17</xdr:row>
      <xdr:rowOff>162213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580BCB-A8C5-49A6-91CE-9CD8AE1AC517}"/>
            </a:ext>
          </a:extLst>
        </xdr:cNvPr>
        <xdr:cNvSpPr/>
      </xdr:nvSpPr>
      <xdr:spPr>
        <a:xfrm>
          <a:off x="6046693" y="3218331"/>
          <a:ext cx="1368000" cy="216000"/>
        </a:xfrm>
        <a:prstGeom prst="roundRect">
          <a:avLst/>
        </a:prstGeom>
        <a:solidFill>
          <a:schemeClr val="bg1">
            <a:lumMod val="85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File Names</a:t>
          </a:r>
        </a:p>
      </xdr:txBody>
    </xdr:sp>
    <xdr:clientData/>
  </xdr:twoCellAnchor>
  <xdr:twoCellAnchor>
    <xdr:from>
      <xdr:col>5</xdr:col>
      <xdr:colOff>923363</xdr:colOff>
      <xdr:row>16</xdr:row>
      <xdr:rowOff>125507</xdr:rowOff>
    </xdr:from>
    <xdr:to>
      <xdr:col>7</xdr:col>
      <xdr:colOff>408775</xdr:colOff>
      <xdr:row>17</xdr:row>
      <xdr:rowOff>162213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C20E34-5B6D-45A4-9A2C-D77D3CDD796F}"/>
            </a:ext>
          </a:extLst>
        </xdr:cNvPr>
        <xdr:cNvSpPr/>
      </xdr:nvSpPr>
      <xdr:spPr>
        <a:xfrm>
          <a:off x="4580963" y="3218331"/>
          <a:ext cx="1368000" cy="216000"/>
        </a:xfrm>
        <a:prstGeom prst="roundRect">
          <a:avLst/>
        </a:prstGeom>
        <a:solidFill>
          <a:schemeClr val="bg1">
            <a:lumMod val="85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Data Sheet</a:t>
          </a:r>
        </a:p>
      </xdr:txBody>
    </xdr:sp>
    <xdr:clientData/>
  </xdr:twoCellAnchor>
  <xdr:twoCellAnchor>
    <xdr:from>
      <xdr:col>5</xdr:col>
      <xdr:colOff>923363</xdr:colOff>
      <xdr:row>18</xdr:row>
      <xdr:rowOff>62754</xdr:rowOff>
    </xdr:from>
    <xdr:to>
      <xdr:col>7</xdr:col>
      <xdr:colOff>408775</xdr:colOff>
      <xdr:row>19</xdr:row>
      <xdr:rowOff>99460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CEEFAE-03E9-4CA9-9855-D1362F5A3ACD}"/>
            </a:ext>
          </a:extLst>
        </xdr:cNvPr>
        <xdr:cNvSpPr/>
      </xdr:nvSpPr>
      <xdr:spPr>
        <a:xfrm>
          <a:off x="4580963" y="3514166"/>
          <a:ext cx="1368000" cy="216000"/>
        </a:xfrm>
        <a:prstGeom prst="roundRect">
          <a:avLst/>
        </a:prstGeom>
        <a:solidFill>
          <a:schemeClr val="bg1">
            <a:lumMod val="85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 baseline="0"/>
            <a:t>Send Invoice</a:t>
          </a:r>
          <a:endParaRPr lang="en-IN" sz="1400" b="1"/>
        </a:p>
      </xdr:txBody>
    </xdr:sp>
    <xdr:clientData/>
  </xdr:twoCellAnchor>
  <xdr:twoCellAnchor>
    <xdr:from>
      <xdr:col>7</xdr:col>
      <xdr:colOff>506505</xdr:colOff>
      <xdr:row>18</xdr:row>
      <xdr:rowOff>62754</xdr:rowOff>
    </xdr:from>
    <xdr:to>
      <xdr:col>9</xdr:col>
      <xdr:colOff>296717</xdr:colOff>
      <xdr:row>19</xdr:row>
      <xdr:rowOff>99460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44C18FC-97F2-4A3B-B981-E8EF71156CFF}"/>
            </a:ext>
          </a:extLst>
        </xdr:cNvPr>
        <xdr:cNvSpPr/>
      </xdr:nvSpPr>
      <xdr:spPr>
        <a:xfrm>
          <a:off x="6046693" y="3514166"/>
          <a:ext cx="1368000" cy="216000"/>
        </a:xfrm>
        <a:prstGeom prst="roundRect">
          <a:avLst/>
        </a:prstGeom>
        <a:solidFill>
          <a:schemeClr val="bg1">
            <a:lumMod val="85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Sent</a:t>
          </a:r>
          <a:r>
            <a:rPr lang="en-IN" sz="1400" b="1" baseline="0"/>
            <a:t> Log</a:t>
          </a:r>
          <a:endParaRPr lang="en-IN" sz="1400" b="1"/>
        </a:p>
      </xdr:txBody>
    </xdr:sp>
    <xdr:clientData/>
  </xdr:twoCellAnchor>
  <xdr:twoCellAnchor>
    <xdr:from>
      <xdr:col>6</xdr:col>
      <xdr:colOff>564777</xdr:colOff>
      <xdr:row>20</xdr:row>
      <xdr:rowOff>26896</xdr:rowOff>
    </xdr:from>
    <xdr:to>
      <xdr:col>8</xdr:col>
      <xdr:colOff>354989</xdr:colOff>
      <xdr:row>21</xdr:row>
      <xdr:rowOff>63602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D27D8A-7CBF-47BC-94B1-5B1B6A73543B}"/>
            </a:ext>
          </a:extLst>
        </xdr:cNvPr>
        <xdr:cNvSpPr/>
      </xdr:nvSpPr>
      <xdr:spPr>
        <a:xfrm>
          <a:off x="5316071" y="3836896"/>
          <a:ext cx="1368000" cy="216000"/>
        </a:xfrm>
        <a:prstGeom prst="roundRect">
          <a:avLst/>
        </a:prstGeom>
        <a:solidFill>
          <a:schemeClr val="bg1">
            <a:lumMod val="85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Customer</a:t>
          </a:r>
          <a:r>
            <a:rPr lang="en-IN" sz="1400" b="1" baseline="0"/>
            <a:t> Data</a:t>
          </a:r>
          <a:endParaRPr lang="en-IN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1569711</xdr:colOff>
      <xdr:row>0</xdr:row>
      <xdr:rowOff>45944</xdr:rowOff>
    </xdr:from>
    <xdr:to>
      <xdr:col>5</xdr:col>
      <xdr:colOff>2667711</xdr:colOff>
      <xdr:row>1</xdr:row>
      <xdr:rowOff>137384</xdr:rowOff>
    </xdr:to>
    <xdr:sp macro="[0]!Run_Invoice_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30FFD1-2C37-D5C2-9AAD-EB9DE5801273}"/>
            </a:ext>
          </a:extLst>
        </xdr:cNvPr>
        <xdr:cNvSpPr/>
      </xdr:nvSpPr>
      <xdr:spPr>
        <a:xfrm>
          <a:off x="7791217" y="45944"/>
          <a:ext cx="1098000" cy="270734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Send Email</a:t>
          </a:r>
        </a:p>
      </xdr:txBody>
    </xdr:sp>
    <xdr:clientData/>
  </xdr:twoCellAnchor>
  <xdr:twoCellAnchor>
    <xdr:from>
      <xdr:col>5</xdr:col>
      <xdr:colOff>2811234</xdr:colOff>
      <xdr:row>0</xdr:row>
      <xdr:rowOff>45944</xdr:rowOff>
    </xdr:from>
    <xdr:to>
      <xdr:col>5</xdr:col>
      <xdr:colOff>3900895</xdr:colOff>
      <xdr:row>1</xdr:row>
      <xdr:rowOff>137384</xdr:rowOff>
    </xdr:to>
    <xdr:sp macro="[0]!GetData.GetData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95D867F-DC17-434F-98BE-1A16A9D42FA7}"/>
            </a:ext>
          </a:extLst>
        </xdr:cNvPr>
        <xdr:cNvSpPr/>
      </xdr:nvSpPr>
      <xdr:spPr>
        <a:xfrm>
          <a:off x="9032740" y="45944"/>
          <a:ext cx="1089661" cy="270734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Get</a:t>
          </a:r>
          <a:r>
            <a:rPr lang="en-IN" sz="12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Data</a:t>
          </a:r>
        </a:p>
      </xdr:txBody>
    </xdr:sp>
    <xdr:clientData/>
  </xdr:twoCellAnchor>
  <xdr:twoCellAnchor>
    <xdr:from>
      <xdr:col>5</xdr:col>
      <xdr:colOff>4044419</xdr:colOff>
      <xdr:row>0</xdr:row>
      <xdr:rowOff>45944</xdr:rowOff>
    </xdr:from>
    <xdr:to>
      <xdr:col>6</xdr:col>
      <xdr:colOff>1061414</xdr:colOff>
      <xdr:row>1</xdr:row>
      <xdr:rowOff>137384</xdr:rowOff>
    </xdr:to>
    <xdr:sp macro="[0]!ClearData.ClearData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2AFE5548-4DC4-4E6F-8F8C-A27AD3E3CC24}"/>
            </a:ext>
          </a:extLst>
        </xdr:cNvPr>
        <xdr:cNvSpPr/>
      </xdr:nvSpPr>
      <xdr:spPr>
        <a:xfrm>
          <a:off x="10265925" y="45944"/>
          <a:ext cx="1104901" cy="270734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Clear Data</a:t>
          </a:r>
        </a:p>
      </xdr:txBody>
    </xdr:sp>
    <xdr:clientData/>
  </xdr:twoCellAnchor>
  <xdr:twoCellAnchor editAs="oneCell">
    <xdr:from>
      <xdr:col>6</xdr:col>
      <xdr:colOff>1481321</xdr:colOff>
      <xdr:row>0</xdr:row>
      <xdr:rowOff>8964</xdr:rowOff>
    </xdr:from>
    <xdr:to>
      <xdr:col>6</xdr:col>
      <xdr:colOff>1769321</xdr:colOff>
      <xdr:row>1</xdr:row>
      <xdr:rowOff>117670</xdr:rowOff>
    </xdr:to>
    <xdr:pic>
      <xdr:nvPicPr>
        <xdr:cNvPr id="4" name="Graphic 3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5DCD33-801A-51EE-5B3A-4C337DF58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1790733" y="8964"/>
          <a:ext cx="288000" cy="288000"/>
        </a:xfrm>
        <a:prstGeom prst="rect">
          <a:avLst/>
        </a:prstGeom>
      </xdr:spPr>
    </xdr:pic>
    <xdr:clientData/>
  </xdr:twoCellAnchor>
  <xdr:twoCellAnchor>
    <xdr:from>
      <xdr:col>0</xdr:col>
      <xdr:colOff>44824</xdr:colOff>
      <xdr:row>0</xdr:row>
      <xdr:rowOff>62752</xdr:rowOff>
    </xdr:from>
    <xdr:to>
      <xdr:col>5</xdr:col>
      <xdr:colOff>465318</xdr:colOff>
      <xdr:row>1</xdr:row>
      <xdr:rowOff>135458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3893162-FCBE-45B5-B567-27A2BA1E7BCF}"/>
            </a:ext>
          </a:extLst>
        </xdr:cNvPr>
        <xdr:cNvGrpSpPr/>
      </xdr:nvGrpSpPr>
      <xdr:grpSpPr>
        <a:xfrm>
          <a:off x="44824" y="62752"/>
          <a:ext cx="6642000" cy="252000"/>
          <a:chOff x="35859" y="67235"/>
          <a:chExt cx="6513594" cy="266621"/>
        </a:xfrm>
      </xdr:grpSpPr>
      <xdr:sp macro="" textlink="">
        <xdr:nvSpPr>
          <xdr:cNvPr id="6" name="Rectangle: Top Corners Rounded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8EF3388-C7BC-342D-418F-CDE5A69D2FC8}"/>
              </a:ext>
            </a:extLst>
          </xdr:cNvPr>
          <xdr:cNvSpPr/>
        </xdr:nvSpPr>
        <xdr:spPr>
          <a:xfrm>
            <a:off x="35859" y="67235"/>
            <a:ext cx="1332000" cy="26662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Data Sheet</a:t>
            </a:r>
          </a:p>
        </xdr:txBody>
      </xdr:sp>
      <xdr:sp macro="" textlink="">
        <xdr:nvSpPr>
          <xdr:cNvPr id="7" name="Rectangle: Top Corners Rounded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8888A8E-DE21-AF51-FA10-6A19FF8ECEA0}"/>
              </a:ext>
            </a:extLst>
          </xdr:cNvPr>
          <xdr:cNvSpPr/>
        </xdr:nvSpPr>
        <xdr:spPr>
          <a:xfrm>
            <a:off x="1331258" y="67235"/>
            <a:ext cx="1332000" cy="26662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File Names</a:t>
            </a:r>
          </a:p>
        </xdr:txBody>
      </xdr:sp>
      <xdr:sp macro="" textlink="">
        <xdr:nvSpPr>
          <xdr:cNvPr id="8" name="Rectangle: Top Corners Rounded 7">
            <a:extLst>
              <a:ext uri="{FF2B5EF4-FFF2-40B4-BE49-F238E27FC236}">
                <a16:creationId xmlns:a16="http://schemas.microsoft.com/office/drawing/2014/main" id="{3B6E8551-57EF-67B9-8362-FF2BBA00A3AF}"/>
              </a:ext>
            </a:extLst>
          </xdr:cNvPr>
          <xdr:cNvSpPr/>
        </xdr:nvSpPr>
        <xdr:spPr>
          <a:xfrm>
            <a:off x="2626656" y="67235"/>
            <a:ext cx="1332000" cy="266621"/>
          </a:xfrm>
          <a:prstGeom prst="round2Same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 baseline="0"/>
              <a:t>Send Invoice</a:t>
            </a:r>
            <a:endParaRPr lang="en-IN" sz="1400" b="1"/>
          </a:p>
        </xdr:txBody>
      </xdr:sp>
      <xdr:sp macro="" textlink="">
        <xdr:nvSpPr>
          <xdr:cNvPr id="9" name="Rectangle: Top Corners Rounded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BD01B9-7EF1-4E62-C602-4AA3A08E7157}"/>
              </a:ext>
            </a:extLst>
          </xdr:cNvPr>
          <xdr:cNvSpPr/>
        </xdr:nvSpPr>
        <xdr:spPr>
          <a:xfrm>
            <a:off x="3922054" y="67235"/>
            <a:ext cx="1332000" cy="26662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Sent</a:t>
            </a:r>
            <a:r>
              <a:rPr lang="en-IN" sz="1400" b="1" baseline="0"/>
              <a:t> Log</a:t>
            </a:r>
            <a:endParaRPr lang="en-IN" sz="1400" b="1"/>
          </a:p>
        </xdr:txBody>
      </xdr:sp>
      <xdr:sp macro="" textlink="">
        <xdr:nvSpPr>
          <xdr:cNvPr id="10" name="Rectangle: Top Corners Rounded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CA434EA-CF71-B510-ECE6-0BAE11E9AF56}"/>
              </a:ext>
            </a:extLst>
          </xdr:cNvPr>
          <xdr:cNvSpPr/>
        </xdr:nvSpPr>
        <xdr:spPr>
          <a:xfrm>
            <a:off x="5217453" y="67235"/>
            <a:ext cx="1332000" cy="26662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Customer</a:t>
            </a:r>
            <a:r>
              <a:rPr lang="en-IN" sz="1400" b="1" baseline="0"/>
              <a:t> Data</a:t>
            </a:r>
            <a:endParaRPr lang="en-IN" sz="14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376518</xdr:colOff>
      <xdr:row>0</xdr:row>
      <xdr:rowOff>35859</xdr:rowOff>
    </xdr:from>
    <xdr:to>
      <xdr:col>8</xdr:col>
      <xdr:colOff>412377</xdr:colOff>
      <xdr:row>1</xdr:row>
      <xdr:rowOff>133835</xdr:rowOff>
    </xdr:to>
    <xdr:sp macro="[0]!GetFileNam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0FB8A9-719C-4775-B1CD-6658C7F7EE93}"/>
            </a:ext>
          </a:extLst>
        </xdr:cNvPr>
        <xdr:cNvSpPr/>
      </xdr:nvSpPr>
      <xdr:spPr>
        <a:xfrm>
          <a:off x="8346142" y="35859"/>
          <a:ext cx="1730188" cy="295200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Generate File Names</a:t>
          </a:r>
        </a:p>
      </xdr:txBody>
    </xdr:sp>
    <xdr:clientData/>
  </xdr:twoCellAnchor>
  <xdr:twoCellAnchor>
    <xdr:from>
      <xdr:col>8</xdr:col>
      <xdr:colOff>468495</xdr:colOff>
      <xdr:row>0</xdr:row>
      <xdr:rowOff>35859</xdr:rowOff>
    </xdr:from>
    <xdr:to>
      <xdr:col>9</xdr:col>
      <xdr:colOff>553483</xdr:colOff>
      <xdr:row>1</xdr:row>
      <xdr:rowOff>133835</xdr:rowOff>
    </xdr:to>
    <xdr:sp macro="[0]!ClearData.Clear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1B185F-0EA0-4730-B134-F832FFFBE38A}"/>
            </a:ext>
          </a:extLst>
        </xdr:cNvPr>
        <xdr:cNvSpPr/>
      </xdr:nvSpPr>
      <xdr:spPr>
        <a:xfrm>
          <a:off x="10132448" y="35859"/>
          <a:ext cx="1098000" cy="295200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Clear Data</a:t>
          </a:r>
        </a:p>
      </xdr:txBody>
    </xdr:sp>
    <xdr:clientData/>
  </xdr:twoCellAnchor>
  <xdr:twoCellAnchor>
    <xdr:from>
      <xdr:col>0</xdr:col>
      <xdr:colOff>35858</xdr:colOff>
      <xdr:row>0</xdr:row>
      <xdr:rowOff>67235</xdr:rowOff>
    </xdr:from>
    <xdr:to>
      <xdr:col>4</xdr:col>
      <xdr:colOff>1827952</xdr:colOff>
      <xdr:row>1</xdr:row>
      <xdr:rowOff>122011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E2B3EA8-AF1D-1DDE-B612-32BA0718AC96}"/>
            </a:ext>
          </a:extLst>
        </xdr:cNvPr>
        <xdr:cNvGrpSpPr/>
      </xdr:nvGrpSpPr>
      <xdr:grpSpPr>
        <a:xfrm>
          <a:off x="35858" y="67235"/>
          <a:ext cx="6642000" cy="252000"/>
          <a:chOff x="35859" y="67235"/>
          <a:chExt cx="6504629" cy="252000"/>
        </a:xfrm>
      </xdr:grpSpPr>
      <xdr:sp macro="" textlink="">
        <xdr:nvSpPr>
          <xdr:cNvPr id="5" name="Rectangle: Top Corners Rounded 4">
            <a:extLst>
              <a:ext uri="{FF2B5EF4-FFF2-40B4-BE49-F238E27FC236}">
                <a16:creationId xmlns:a16="http://schemas.microsoft.com/office/drawing/2014/main" id="{AED6027A-7CDD-143A-1CF1-D8CEB0F10D18}"/>
              </a:ext>
            </a:extLst>
          </xdr:cNvPr>
          <xdr:cNvSpPr/>
        </xdr:nvSpPr>
        <xdr:spPr>
          <a:xfrm>
            <a:off x="35859" y="67235"/>
            <a:ext cx="1332000" cy="252000"/>
          </a:xfrm>
          <a:prstGeom prst="round2Same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Data Sheet</a:t>
            </a:r>
          </a:p>
        </xdr:txBody>
      </xdr:sp>
      <xdr:sp macro="" textlink="">
        <xdr:nvSpPr>
          <xdr:cNvPr id="6" name="Rectangle: Top Corners Rounded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61B1CAC-0F29-4915-B09B-4824523253BD}"/>
              </a:ext>
            </a:extLst>
          </xdr:cNvPr>
          <xdr:cNvSpPr/>
        </xdr:nvSpPr>
        <xdr:spPr>
          <a:xfrm>
            <a:off x="1331258" y="67235"/>
            <a:ext cx="1332000" cy="252000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File Names</a:t>
            </a:r>
          </a:p>
        </xdr:txBody>
      </xdr:sp>
      <xdr:sp macro="" textlink="">
        <xdr:nvSpPr>
          <xdr:cNvPr id="7" name="Rectangle: Top Corners Rounded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A868B9D-1902-4A89-9DD6-CC3D07C5E32F}"/>
              </a:ext>
            </a:extLst>
          </xdr:cNvPr>
          <xdr:cNvSpPr/>
        </xdr:nvSpPr>
        <xdr:spPr>
          <a:xfrm>
            <a:off x="2626656" y="67235"/>
            <a:ext cx="1332000" cy="252000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 baseline="0"/>
              <a:t>Send Invoice</a:t>
            </a:r>
            <a:endParaRPr lang="en-IN" sz="1400" b="1"/>
          </a:p>
        </xdr:txBody>
      </xdr:sp>
      <xdr:sp macro="" textlink="">
        <xdr:nvSpPr>
          <xdr:cNvPr id="8" name="Rectangle: Top Corners Rounded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C0F6691-E82D-4B57-B9A2-0DB7D5B8C461}"/>
              </a:ext>
            </a:extLst>
          </xdr:cNvPr>
          <xdr:cNvSpPr/>
        </xdr:nvSpPr>
        <xdr:spPr>
          <a:xfrm>
            <a:off x="3922054" y="67235"/>
            <a:ext cx="1332000" cy="252000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Sent</a:t>
            </a:r>
            <a:r>
              <a:rPr lang="en-IN" sz="1400" b="1" baseline="0"/>
              <a:t> Log</a:t>
            </a:r>
            <a:endParaRPr lang="en-IN" sz="1400" b="1"/>
          </a:p>
        </xdr:txBody>
      </xdr:sp>
      <xdr:sp macro="" textlink="">
        <xdr:nvSpPr>
          <xdr:cNvPr id="9" name="Rectangle: Top Corners Rounded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9CB20A8-94E3-4F17-A395-B34F50E82086}"/>
              </a:ext>
            </a:extLst>
          </xdr:cNvPr>
          <xdr:cNvSpPr/>
        </xdr:nvSpPr>
        <xdr:spPr>
          <a:xfrm>
            <a:off x="5208488" y="67235"/>
            <a:ext cx="1332000" cy="252000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Customer</a:t>
            </a:r>
            <a:r>
              <a:rPr lang="en-IN" sz="1400" b="1" baseline="0"/>
              <a:t> Data</a:t>
            </a:r>
            <a:endParaRPr lang="en-IN" sz="1400" b="1"/>
          </a:p>
        </xdr:txBody>
      </xdr:sp>
    </xdr:grpSp>
    <xdr:clientData/>
  </xdr:twoCellAnchor>
  <xdr:twoCellAnchor editAs="oneCell">
    <xdr:from>
      <xdr:col>9</xdr:col>
      <xdr:colOff>833717</xdr:colOff>
      <xdr:row>0</xdr:row>
      <xdr:rowOff>26895</xdr:rowOff>
    </xdr:from>
    <xdr:to>
      <xdr:col>9</xdr:col>
      <xdr:colOff>1121717</xdr:colOff>
      <xdr:row>1</xdr:row>
      <xdr:rowOff>117671</xdr:rowOff>
    </xdr:to>
    <xdr:pic>
      <xdr:nvPicPr>
        <xdr:cNvPr id="11" name="Graphic 10" descr="House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5F1F6-71EA-4881-99A1-FB4ECBB40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11510682" y="26895"/>
          <a:ext cx="288000" cy="28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1982535</xdr:colOff>
      <xdr:row>0</xdr:row>
      <xdr:rowOff>35410</xdr:rowOff>
    </xdr:from>
    <xdr:to>
      <xdr:col>2</xdr:col>
      <xdr:colOff>3890672</xdr:colOff>
      <xdr:row>1</xdr:row>
      <xdr:rowOff>151316</xdr:rowOff>
    </xdr:to>
    <xdr:sp macro="[0]!RenameFiles.RenameFi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769DEA-397F-4253-AF37-B04D38E80203}"/>
            </a:ext>
          </a:extLst>
        </xdr:cNvPr>
        <xdr:cNvSpPr/>
      </xdr:nvSpPr>
      <xdr:spPr>
        <a:xfrm>
          <a:off x="10857594" y="35410"/>
          <a:ext cx="1908137" cy="295200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Rename Files in Folder</a:t>
          </a:r>
        </a:p>
        <a:p>
          <a:pPr algn="ctr"/>
          <a:endParaRPr lang="en-IN" sz="1100" b="1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3953433</xdr:colOff>
      <xdr:row>0</xdr:row>
      <xdr:rowOff>35860</xdr:rowOff>
    </xdr:from>
    <xdr:to>
      <xdr:col>2</xdr:col>
      <xdr:colOff>5050714</xdr:colOff>
      <xdr:row>1</xdr:row>
      <xdr:rowOff>150160</xdr:rowOff>
    </xdr:to>
    <xdr:sp macro="[0]!ClearData.Clear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14B03D-73A6-42A6-9C53-983AD00DEE70}"/>
            </a:ext>
          </a:extLst>
        </xdr:cNvPr>
        <xdr:cNvSpPr/>
      </xdr:nvSpPr>
      <xdr:spPr>
        <a:xfrm>
          <a:off x="12828492" y="35860"/>
          <a:ext cx="1097281" cy="293594"/>
        </a:xfrm>
        <a:prstGeom prst="roundRect">
          <a:avLst/>
        </a:prstGeom>
        <a:solidFill>
          <a:schemeClr val="tx2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Clear Data</a:t>
          </a:r>
        </a:p>
      </xdr:txBody>
    </xdr:sp>
    <xdr:clientData/>
  </xdr:twoCellAnchor>
  <xdr:twoCellAnchor>
    <xdr:from>
      <xdr:col>0</xdr:col>
      <xdr:colOff>35860</xdr:colOff>
      <xdr:row>0</xdr:row>
      <xdr:rowOff>71721</xdr:rowOff>
    </xdr:from>
    <xdr:to>
      <xdr:col>1</xdr:col>
      <xdr:colOff>4490472</xdr:colOff>
      <xdr:row>1</xdr:row>
      <xdr:rowOff>144427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3B97112-0F7A-4A48-9F6D-BD528B77970A}"/>
            </a:ext>
          </a:extLst>
        </xdr:cNvPr>
        <xdr:cNvGrpSpPr/>
      </xdr:nvGrpSpPr>
      <xdr:grpSpPr>
        <a:xfrm>
          <a:off x="35860" y="71721"/>
          <a:ext cx="6642000" cy="252000"/>
          <a:chOff x="35859" y="67235"/>
          <a:chExt cx="6513594" cy="300461"/>
        </a:xfrm>
      </xdr:grpSpPr>
      <xdr:sp macro="" textlink="">
        <xdr:nvSpPr>
          <xdr:cNvPr id="6" name="Rectangle: Top Corners Rounded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724788-BC56-856F-5945-E172BCA5B30C}"/>
              </a:ext>
            </a:extLst>
          </xdr:cNvPr>
          <xdr:cNvSpPr/>
        </xdr:nvSpPr>
        <xdr:spPr>
          <a:xfrm>
            <a:off x="35859" y="67235"/>
            <a:ext cx="1332000" cy="30046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Data Sheet</a:t>
            </a:r>
          </a:p>
        </xdr:txBody>
      </xdr:sp>
      <xdr:sp macro="" textlink="">
        <xdr:nvSpPr>
          <xdr:cNvPr id="7" name="Rectangle: Top Corners Rounded 6">
            <a:extLst>
              <a:ext uri="{FF2B5EF4-FFF2-40B4-BE49-F238E27FC236}">
                <a16:creationId xmlns:a16="http://schemas.microsoft.com/office/drawing/2014/main" id="{D6E76170-690B-1B41-3359-B7C65DD910CF}"/>
              </a:ext>
            </a:extLst>
          </xdr:cNvPr>
          <xdr:cNvSpPr/>
        </xdr:nvSpPr>
        <xdr:spPr>
          <a:xfrm>
            <a:off x="1331258" y="67235"/>
            <a:ext cx="1332000" cy="300461"/>
          </a:xfrm>
          <a:prstGeom prst="round2Same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File Names</a:t>
            </a:r>
          </a:p>
        </xdr:txBody>
      </xdr:sp>
      <xdr:sp macro="" textlink="">
        <xdr:nvSpPr>
          <xdr:cNvPr id="8" name="Rectangle: Top Corners Rounded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2AA1AE5-BCD7-024E-EA5F-3671C86ECC84}"/>
              </a:ext>
            </a:extLst>
          </xdr:cNvPr>
          <xdr:cNvSpPr/>
        </xdr:nvSpPr>
        <xdr:spPr>
          <a:xfrm>
            <a:off x="2626656" y="67235"/>
            <a:ext cx="1332000" cy="30046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 baseline="0"/>
              <a:t>Send Invoice</a:t>
            </a:r>
            <a:endParaRPr lang="en-IN" sz="1400" b="1"/>
          </a:p>
        </xdr:txBody>
      </xdr:sp>
      <xdr:sp macro="" textlink="">
        <xdr:nvSpPr>
          <xdr:cNvPr id="9" name="Rectangle: Top Corners Rounded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DBB1BC6-4514-A66F-0551-8A27F14A079A}"/>
              </a:ext>
            </a:extLst>
          </xdr:cNvPr>
          <xdr:cNvSpPr/>
        </xdr:nvSpPr>
        <xdr:spPr>
          <a:xfrm>
            <a:off x="3922054" y="67235"/>
            <a:ext cx="1332000" cy="30046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Sent</a:t>
            </a:r>
            <a:r>
              <a:rPr lang="en-IN" sz="1400" b="1" baseline="0"/>
              <a:t> Log</a:t>
            </a:r>
            <a:endParaRPr lang="en-IN" sz="1400" b="1"/>
          </a:p>
        </xdr:txBody>
      </xdr:sp>
      <xdr:sp macro="" textlink="">
        <xdr:nvSpPr>
          <xdr:cNvPr id="10" name="Rectangle: Top Corners Rounded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C42951D-433A-D093-0B2C-5FF4F4A18FC5}"/>
              </a:ext>
            </a:extLst>
          </xdr:cNvPr>
          <xdr:cNvSpPr/>
        </xdr:nvSpPr>
        <xdr:spPr>
          <a:xfrm>
            <a:off x="5217453" y="67235"/>
            <a:ext cx="1332000" cy="300461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Customer</a:t>
            </a:r>
            <a:r>
              <a:rPr lang="en-IN" sz="1400" b="1" baseline="0"/>
              <a:t> Data</a:t>
            </a:r>
            <a:endParaRPr lang="en-IN" sz="1400" b="1"/>
          </a:p>
        </xdr:txBody>
      </xdr:sp>
    </xdr:grpSp>
    <xdr:clientData/>
  </xdr:twoCellAnchor>
  <xdr:twoCellAnchor editAs="oneCell">
    <xdr:from>
      <xdr:col>2</xdr:col>
      <xdr:colOff>5271247</xdr:colOff>
      <xdr:row>0</xdr:row>
      <xdr:rowOff>40514</xdr:rowOff>
    </xdr:from>
    <xdr:to>
      <xdr:col>2</xdr:col>
      <xdr:colOff>5559247</xdr:colOff>
      <xdr:row>1</xdr:row>
      <xdr:rowOff>149220</xdr:rowOff>
    </xdr:to>
    <xdr:pic>
      <xdr:nvPicPr>
        <xdr:cNvPr id="11" name="Graphic 10" descr="House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84EE10-EB3A-4943-9ECD-41FE5B107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14146306" y="40514"/>
          <a:ext cx="288000" cy="288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1358156</xdr:colOff>
      <xdr:row>0</xdr:row>
      <xdr:rowOff>39672</xdr:rowOff>
    </xdr:from>
    <xdr:to>
      <xdr:col>4</xdr:col>
      <xdr:colOff>1646156</xdr:colOff>
      <xdr:row>1</xdr:row>
      <xdr:rowOff>143470</xdr:rowOff>
    </xdr:to>
    <xdr:pic>
      <xdr:nvPicPr>
        <xdr:cNvPr id="3" name="Graphic 2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E28A49-4A24-4FCC-AC99-81F1CA6B9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8771968" y="39672"/>
          <a:ext cx="288000" cy="283092"/>
        </a:xfrm>
        <a:prstGeom prst="rect">
          <a:avLst/>
        </a:prstGeom>
      </xdr:spPr>
    </xdr:pic>
    <xdr:clientData/>
  </xdr:twoCellAnchor>
  <xdr:twoCellAnchor>
    <xdr:from>
      <xdr:col>0</xdr:col>
      <xdr:colOff>17929</xdr:colOff>
      <xdr:row>0</xdr:row>
      <xdr:rowOff>62752</xdr:rowOff>
    </xdr:from>
    <xdr:to>
      <xdr:col>3</xdr:col>
      <xdr:colOff>1218353</xdr:colOff>
      <xdr:row>1</xdr:row>
      <xdr:rowOff>135459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9ACB591-2DE9-4CD5-8AEE-24B40A7A6EB8}"/>
            </a:ext>
          </a:extLst>
        </xdr:cNvPr>
        <xdr:cNvGrpSpPr/>
      </xdr:nvGrpSpPr>
      <xdr:grpSpPr>
        <a:xfrm>
          <a:off x="17929" y="62752"/>
          <a:ext cx="6642000" cy="252001"/>
          <a:chOff x="35859" y="67233"/>
          <a:chExt cx="6618179" cy="295354"/>
        </a:xfrm>
      </xdr:grpSpPr>
      <xdr:sp macro="" textlink="">
        <xdr:nvSpPr>
          <xdr:cNvPr id="11" name="Rectangle: Top Corners Rounded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94945E7-16C0-1F6B-0FB3-42F114E380DB}"/>
              </a:ext>
            </a:extLst>
          </xdr:cNvPr>
          <xdr:cNvSpPr/>
        </xdr:nvSpPr>
        <xdr:spPr>
          <a:xfrm>
            <a:off x="35859" y="67234"/>
            <a:ext cx="1436587" cy="295353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Data Sheet</a:t>
            </a:r>
          </a:p>
        </xdr:txBody>
      </xdr:sp>
      <xdr:sp macro="" textlink="">
        <xdr:nvSpPr>
          <xdr:cNvPr id="12" name="Rectangle: Top Corners Rounded 1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A93DE1B-6BFD-AD37-447C-14348BB5AC2E}"/>
              </a:ext>
            </a:extLst>
          </xdr:cNvPr>
          <xdr:cNvSpPr/>
        </xdr:nvSpPr>
        <xdr:spPr>
          <a:xfrm>
            <a:off x="1331258" y="67234"/>
            <a:ext cx="1436587" cy="295353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File Names</a:t>
            </a:r>
          </a:p>
        </xdr:txBody>
      </xdr:sp>
      <xdr:sp macro="" textlink="">
        <xdr:nvSpPr>
          <xdr:cNvPr id="13" name="Rectangle: Top Corners Rounded 1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836F853-4D6E-6EA1-3E67-AFC6636C2D56}"/>
              </a:ext>
            </a:extLst>
          </xdr:cNvPr>
          <xdr:cNvSpPr/>
        </xdr:nvSpPr>
        <xdr:spPr>
          <a:xfrm>
            <a:off x="2626656" y="67234"/>
            <a:ext cx="1436587" cy="295353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 baseline="0"/>
              <a:t>Send Invoice</a:t>
            </a:r>
            <a:endParaRPr lang="en-IN" sz="1400" b="1"/>
          </a:p>
        </xdr:txBody>
      </xdr:sp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63660EE9-A499-91A9-4516-65BED8DF352D}"/>
              </a:ext>
            </a:extLst>
          </xdr:cNvPr>
          <xdr:cNvSpPr/>
        </xdr:nvSpPr>
        <xdr:spPr>
          <a:xfrm>
            <a:off x="3922054" y="67234"/>
            <a:ext cx="1436587" cy="295353"/>
          </a:xfrm>
          <a:prstGeom prst="round2Same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Sent</a:t>
            </a:r>
            <a:r>
              <a:rPr lang="en-IN" sz="1400" b="1" baseline="0"/>
              <a:t> Log</a:t>
            </a:r>
            <a:endParaRPr lang="en-IN" sz="1400" b="1"/>
          </a:p>
        </xdr:txBody>
      </xdr:sp>
      <xdr:sp macro="" textlink="">
        <xdr:nvSpPr>
          <xdr:cNvPr id="15" name="Rectangle: Top Corners Rounded 14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0D71BA-2CA4-DFC3-F475-CC62BC8D8C74}"/>
              </a:ext>
            </a:extLst>
          </xdr:cNvPr>
          <xdr:cNvSpPr/>
        </xdr:nvSpPr>
        <xdr:spPr>
          <a:xfrm>
            <a:off x="5217451" y="67233"/>
            <a:ext cx="1436587" cy="295353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Customer</a:t>
            </a:r>
            <a:r>
              <a:rPr lang="en-IN" sz="1400" b="1" baseline="0"/>
              <a:t> Data</a:t>
            </a:r>
            <a:endParaRPr lang="en-IN" sz="1400" b="1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53783</xdr:colOff>
      <xdr:row>0</xdr:row>
      <xdr:rowOff>62750</xdr:rowOff>
    </xdr:from>
    <xdr:to>
      <xdr:col>4</xdr:col>
      <xdr:colOff>644318</xdr:colOff>
      <xdr:row>1</xdr:row>
      <xdr:rowOff>135457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045C63B-2E21-4D8A-869B-722415C52B0C}"/>
            </a:ext>
          </a:extLst>
        </xdr:cNvPr>
        <xdr:cNvGrpSpPr/>
      </xdr:nvGrpSpPr>
      <xdr:grpSpPr>
        <a:xfrm>
          <a:off x="53783" y="62750"/>
          <a:ext cx="6641711" cy="252001"/>
          <a:chOff x="35858" y="67234"/>
          <a:chExt cx="6481456" cy="292038"/>
        </a:xfrm>
      </xdr:grpSpPr>
      <xdr:sp macro="" textlink="">
        <xdr:nvSpPr>
          <xdr:cNvPr id="4" name="Rectangle: Top Corners Rounded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ED1222-6672-FF1E-A618-865EA792C145}"/>
              </a:ext>
            </a:extLst>
          </xdr:cNvPr>
          <xdr:cNvSpPr/>
        </xdr:nvSpPr>
        <xdr:spPr>
          <a:xfrm>
            <a:off x="35858" y="67235"/>
            <a:ext cx="1299861" cy="292037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Data Sheet</a:t>
            </a:r>
          </a:p>
        </xdr:txBody>
      </xdr:sp>
      <xdr:sp macro="" textlink="">
        <xdr:nvSpPr>
          <xdr:cNvPr id="5" name="Rectangle: Top Corners Rounded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309FA-5109-F4AD-CDC6-D8228979E951}"/>
              </a:ext>
            </a:extLst>
          </xdr:cNvPr>
          <xdr:cNvSpPr/>
        </xdr:nvSpPr>
        <xdr:spPr>
          <a:xfrm>
            <a:off x="1331257" y="67235"/>
            <a:ext cx="1299861" cy="292037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File Names</a:t>
            </a:r>
          </a:p>
        </xdr:txBody>
      </xdr:sp>
      <xdr:sp macro="" textlink="">
        <xdr:nvSpPr>
          <xdr:cNvPr id="6" name="Rectangle: Top Corners Rounded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CCC272B-36AD-DF90-F539-F0E1A956D153}"/>
              </a:ext>
            </a:extLst>
          </xdr:cNvPr>
          <xdr:cNvSpPr/>
        </xdr:nvSpPr>
        <xdr:spPr>
          <a:xfrm>
            <a:off x="2626655" y="67235"/>
            <a:ext cx="1299861" cy="292037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 baseline="0"/>
              <a:t>Send Invoice</a:t>
            </a:r>
            <a:endParaRPr lang="en-IN" sz="1400" b="1"/>
          </a:p>
        </xdr:txBody>
      </xdr:sp>
      <xdr:sp macro="" textlink="">
        <xdr:nvSpPr>
          <xdr:cNvPr id="7" name="Rectangle: Top Corners Rounded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D0DFC2-020C-1901-E3D2-C05A99E21E46}"/>
              </a:ext>
            </a:extLst>
          </xdr:cNvPr>
          <xdr:cNvSpPr/>
        </xdr:nvSpPr>
        <xdr:spPr>
          <a:xfrm>
            <a:off x="3922053" y="67235"/>
            <a:ext cx="1299861" cy="292037"/>
          </a:xfrm>
          <a:prstGeom prst="round2Same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Sent</a:t>
            </a:r>
            <a:r>
              <a:rPr lang="en-IN" sz="1400" b="1" baseline="0"/>
              <a:t> Log</a:t>
            </a:r>
            <a:endParaRPr lang="en-IN" sz="1400" b="1"/>
          </a:p>
        </xdr:txBody>
      </xdr:sp>
      <xdr:sp macro="" textlink="">
        <xdr:nvSpPr>
          <xdr:cNvPr id="8" name="Rectangle: Top Corners Rounded 7">
            <a:extLst>
              <a:ext uri="{FF2B5EF4-FFF2-40B4-BE49-F238E27FC236}">
                <a16:creationId xmlns:a16="http://schemas.microsoft.com/office/drawing/2014/main" id="{05EF28BF-CA77-C2E7-D555-4423705489A7}"/>
              </a:ext>
            </a:extLst>
          </xdr:cNvPr>
          <xdr:cNvSpPr/>
        </xdr:nvSpPr>
        <xdr:spPr>
          <a:xfrm>
            <a:off x="5217453" y="67234"/>
            <a:ext cx="1299861" cy="292037"/>
          </a:xfrm>
          <a:prstGeom prst="round2Same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400" b="1"/>
              <a:t>Customer</a:t>
            </a:r>
            <a:r>
              <a:rPr lang="en-IN" sz="1400" b="1" baseline="0"/>
              <a:t> Data</a:t>
            </a:r>
            <a:endParaRPr lang="en-IN" sz="1400" b="1"/>
          </a:p>
        </xdr:txBody>
      </xdr:sp>
    </xdr:grpSp>
    <xdr:clientData/>
  </xdr:twoCellAnchor>
  <xdr:twoCellAnchor editAs="oneCell">
    <xdr:from>
      <xdr:col>4</xdr:col>
      <xdr:colOff>2196354</xdr:colOff>
      <xdr:row>0</xdr:row>
      <xdr:rowOff>44233</xdr:rowOff>
    </xdr:from>
    <xdr:to>
      <xdr:col>4</xdr:col>
      <xdr:colOff>2484354</xdr:colOff>
      <xdr:row>1</xdr:row>
      <xdr:rowOff>148032</xdr:rowOff>
    </xdr:to>
    <xdr:pic>
      <xdr:nvPicPr>
        <xdr:cNvPr id="9" name="Graphic 8" descr="House with solid fill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A49F0E3-A0BB-49C9-9532-3EF70BCD5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8247530" y="44233"/>
          <a:ext cx="288000" cy="28309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708997</xdr:colOff>
      <xdr:row>0</xdr:row>
      <xdr:rowOff>0</xdr:rowOff>
    </xdr:from>
    <xdr:to>
      <xdr:col>6</xdr:col>
      <xdr:colOff>1067137</xdr:colOff>
      <xdr:row>2</xdr:row>
      <xdr:rowOff>60490</xdr:rowOff>
    </xdr:to>
    <xdr:pic>
      <xdr:nvPicPr>
        <xdr:cNvPr id="4" name="Graphic 3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941EB9-6BCF-414E-9AE2-92AB8207C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6745362" y="0"/>
          <a:ext cx="358140" cy="35203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662617</xdr:colOff>
      <xdr:row>0</xdr:row>
      <xdr:rowOff>0</xdr:rowOff>
    </xdr:from>
    <xdr:to>
      <xdr:col>6</xdr:col>
      <xdr:colOff>1020757</xdr:colOff>
      <xdr:row>2</xdr:row>
      <xdr:rowOff>60490</xdr:rowOff>
    </xdr:to>
    <xdr:pic>
      <xdr:nvPicPr>
        <xdr:cNvPr id="4" name="Graphic 3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914396-DAE7-46E5-A2C6-B7F5D8E21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6659226" y="0"/>
          <a:ext cx="358140" cy="3520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722243</xdr:colOff>
      <xdr:row>0</xdr:row>
      <xdr:rowOff>0</xdr:rowOff>
    </xdr:from>
    <xdr:to>
      <xdr:col>6</xdr:col>
      <xdr:colOff>1080383</xdr:colOff>
      <xdr:row>2</xdr:row>
      <xdr:rowOff>60490</xdr:rowOff>
    </xdr:to>
    <xdr:pic>
      <xdr:nvPicPr>
        <xdr:cNvPr id="4" name="Graphic 3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B8D3D0-229D-4710-959D-62FF826E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6718852" y="0"/>
          <a:ext cx="358140" cy="3520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E9244C-855C-4BC4-B4A7-D3DB2794A2CA}" name="Table3" displayName="Table3" ref="A3:S172" totalsRowShown="0" headerRowDxfId="57" dataDxfId="56" tableBorderDxfId="55">
  <autoFilter ref="A3:S172" xr:uid="{29E9244C-855C-4BC4-B4A7-D3DB2794A2CA}"/>
  <tableColumns count="19">
    <tableColumn id="1" xr3:uid="{F2287286-C966-4DC9-9588-ACE9157A5C11}" name="InvoiceNo" dataDxfId="54"/>
    <tableColumn id="2" xr3:uid="{9D8E60AC-3A29-4FAE-A142-EAB7DEAD0723}" name="InvoiceDate" dataDxfId="53">
      <calculatedColumnFormula>IFERROR(VLOOKUP($A4,InvDump[#All],MATCH(B$3,InvDump[#Headers],0),FALSE),"-")</calculatedColumnFormula>
    </tableColumn>
    <tableColumn id="3" xr3:uid="{0818807C-5E76-4180-92EC-82ED0B5B05F8}" name="InvoicePeriod" dataDxfId="52">
      <calculatedColumnFormula>IFERROR(VLOOKUP($A4,InvDump[#All],MATCH(C$3,InvDump[#Headers],0),FALSE),"-")</calculatedColumnFormula>
    </tableColumn>
    <tableColumn id="4" xr3:uid="{2716F7F6-2BEC-4072-919F-C47BF9231F86}" name="InvoiceType" dataDxfId="51">
      <calculatedColumnFormula>IFERROR(VLOOKUP($A4,InvDump[#All],MATCH(D$3,InvDump[#Headers],0),FALSE),"-")</calculatedColumnFormula>
    </tableColumn>
    <tableColumn id="5" xr3:uid="{4DEFBAEB-9AB2-4EF6-991F-7B89B932D857}" name="CustomerName" dataDxfId="50">
      <calculatedColumnFormula>IFERROR(VLOOKUP($A4,InvDump[#All],MATCH(E$3,InvDump[#Headers],0),FALSE),"-")</calculatedColumnFormula>
    </tableColumn>
    <tableColumn id="6" xr3:uid="{BD2064F7-AB5B-45A7-9159-BC3A072D854B}" name="CustomerEmail" dataDxfId="49">
      <calculatedColumnFormula>IFERROR(VLOOKUP($A4,InvDump[#All],MATCH(F$3,InvDump[#Headers],0),FALSE),"-")</calculatedColumnFormula>
    </tableColumn>
    <tableColumn id="7" xr3:uid="{1592D713-F101-4D3E-8406-4EAFDF527AC9}" name="Company" dataDxfId="48">
      <calculatedColumnFormula>IFERROR(VLOOKUP($A4,InvDump[#All],MATCH(G$3,InvDump[#Headers],0),FALSE),"-")</calculatedColumnFormula>
    </tableColumn>
    <tableColumn id="8" xr3:uid="{B50DFBF9-6958-4CEA-9158-8663472EAC57}" name="Brand" dataDxfId="47">
      <calculatedColumnFormula>IFERROR(VLOOKUP(G4,CustomerData!$B$4:$D$13,3),"-")</calculatedColumnFormula>
    </tableColumn>
    <tableColumn id="9" xr3:uid="{588DF6E1-4B83-4FC9-A2D9-235F5A11127C}" name="SenderName" dataDxfId="46">
      <calculatedColumnFormula>IFERROR(VLOOKUP($A4,InvDump[#All],MATCH(I$3,InvDump[#Headers],0),FALSE),"-")</calculatedColumnFormula>
    </tableColumn>
    <tableColumn id="10" xr3:uid="{B22040CD-17F0-45CC-AE54-DD190F69F0AB}" name="SenderEmail" dataDxfId="45">
      <calculatedColumnFormula>IFERROR(VLOOKUP($A4,InvDump[#All],MATCH(J$3,InvDump[#Headers],0),FALSE),"-")</calculatedColumnFormula>
    </tableColumn>
    <tableColumn id="11" xr3:uid="{A60EA8F6-6FB0-416B-BDA8-E430F4B4AEB9}" name="EmailCC" dataDxfId="44">
      <calculatedColumnFormula>IFERROR(VLOOKUP($A4,InvDump[#All],MATCH(K$3,InvDump[#Headers],0),FALSE),"-")</calculatedColumnFormula>
    </tableColumn>
    <tableColumn id="12" xr3:uid="{7EF35421-3C1C-42A6-8321-99E434517ACC}" name="InvAmount" dataDxfId="43">
      <calculatedColumnFormula>IFERROR(VLOOKUP($A4,InvDump[#All],MATCH(L$3,InvDump[#Headers],0),FALSE),"-")</calculatedColumnFormula>
    </tableColumn>
    <tableColumn id="13" xr3:uid="{AE23E0BD-4C86-418E-A373-9605A5F8C485}" name="GST1" dataDxfId="42">
      <calculatedColumnFormula>IFERROR(VLOOKUP($A4,InvDump[#All],MATCH(M$3,InvDump[#Headers],0),FALSE),"-")</calculatedColumnFormula>
    </tableColumn>
    <tableColumn id="14" xr3:uid="{4E2E0A2C-3394-4A87-82E6-27D169C3904A}" name="GST2" dataDxfId="41">
      <calculatedColumnFormula>IFERROR(VLOOKUP($A4,InvDump[#All],MATCH(N$3,InvDump[#Headers],0),FALSE),"-")</calculatedColumnFormula>
    </tableColumn>
    <tableColumn id="15" xr3:uid="{1D11F689-56F2-43EB-8404-177850C75A3D}" name="InvTotal" dataDxfId="40">
      <calculatedColumnFormula>IFERROR(VLOOKUP($A4,InvDump[#All],MATCH(O$3,InvDump[#Headers],0),FALSE),"-")</calculatedColumnFormula>
    </tableColumn>
    <tableColumn id="16" xr3:uid="{4EE31FF3-936B-4948-AD8A-80CA16551C26}" name="UnitRate" dataDxfId="39">
      <calculatedColumnFormula>IFERROR(VLOOKUP($A4,InvDump[#All],MATCH(P$3,InvDump[#Headers],0),FALSE),"")</calculatedColumnFormula>
    </tableColumn>
    <tableColumn id="17" xr3:uid="{502D3CAB-3D32-4ADC-9DAD-21912163A548}" name="Units" dataDxfId="38">
      <calculatedColumnFormula>IFERROR(VLOOKUP($A4,InvDump[#All],MATCH(Q$3,InvDump[#Headers],0),FALSE),"")</calculatedColumnFormula>
    </tableColumn>
    <tableColumn id="18" xr3:uid="{949C7F93-AF6F-45AD-8896-7FE549941064}" name="Location" dataDxfId="37">
      <calculatedColumnFormula>IFERROR(IF(VLOOKUP($A4,InvDump[#All],MATCH(R$3,InvDump[#Headers],0),FALSE)=0,"",VLOOKUP($A4,InvDump[#All],MATCH(R$3,InvDump[#Headers],0),FALSE)),"")</calculatedColumnFormula>
    </tableColumn>
    <tableColumn id="19" xr3:uid="{057A3809-7EC0-45EA-8219-B21925EA925E}" name="AttachmentPath" dataDxfId="36">
      <calculatedColumnFormula>IFERROR(IF(InvDump[[#This Row],[Annexure]]="Yes",VLOOKUP($A4,InvDump[#All],21,FALSE)&amp;"; "&amp;VLOOKUP($A4,InvDump[#All],23,FALSE),VLOOKUP($A4,InvDump[#All],21,FALSE)),"")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1EDE7E-B4CA-471C-86FA-195108CAB651}" name="InvDump" displayName="InvDump" ref="A3:V86" totalsRowShown="0" headerRowDxfId="35" dataDxfId="34">
  <autoFilter ref="A3:V86" xr:uid="{501EDE7E-B4CA-471C-86FA-195108CAB651}"/>
  <tableColumns count="22">
    <tableColumn id="1" xr3:uid="{38FBD8B9-903D-4E28-9ED4-BEBD5BD97AFF}" name="InvoiceNo" dataDxfId="33"/>
    <tableColumn id="2" xr3:uid="{2EFBCD20-C9E6-4B3B-843C-0C140722BA4D}" name="InvoiceDate" dataDxfId="32"/>
    <tableColumn id="3" xr3:uid="{FD3FD387-7E2E-4A8E-896F-D02A4E964171}" name="InvoicePeriod" dataDxfId="31"/>
    <tableColumn id="4" xr3:uid="{A219DD12-CDC8-4042-9254-C129BA7EB6BC}" name="InvoiceType" dataDxfId="30"/>
    <tableColumn id="7" xr3:uid="{85F454AC-EF70-4651-8C4D-E11D09E5B515}" name="Company" dataDxfId="29"/>
    <tableColumn id="11" xr3:uid="{46F73993-92D5-4378-BBB4-E7E102E843F8}" name="InvAmount" dataDxfId="28"/>
    <tableColumn id="22" xr3:uid="{059558BE-F4CF-4030-BFF5-6825DD6A6EEE}" name="UnitRate" dataDxfId="27"/>
    <tableColumn id="15" xr3:uid="{15650AC0-6D72-4FD8-9F5A-FFFF4810538A}" name="Units" dataDxfId="26"/>
    <tableColumn id="20" xr3:uid="{174AA508-1C68-4027-A853-651BE730E300}" name="Annexure" dataDxfId="25"/>
    <tableColumn id="21" xr3:uid="{3E2771F6-6762-4ACA-AE0C-AF61515A57C7}" name="Location" dataDxfId="24"/>
    <tableColumn id="5" xr3:uid="{5E25F56F-23C2-4F44-9D07-4FE91B547F4A}" name="CustomerName" dataDxfId="23">
      <calculatedColumnFormula>IF(InvDump[[#This Row],[InvoiceNo]]&lt;&gt;"","Sir/Ma'am","")</calculatedColumnFormula>
    </tableColumn>
    <tableColumn id="6" xr3:uid="{398139A7-6817-42CF-9B13-076778CB0B4C}" name="CustomerEmail" dataDxfId="22" dataCellStyle="Hyperlink">
      <calculatedColumnFormula array="1">IF(InvDump[[#This Row],[Company]]&lt;&gt;"",_xlfn.XLOOKUP(InvDump[[#This Row],[Company]]&amp;InvDump[[#This Row],[Location]],CustomerData!B:B&amp;CustomerData!C:C,CustomerData!E:E,"Email Not Maintained"),"")</calculatedColumnFormula>
    </tableColumn>
    <tableColumn id="8" xr3:uid="{BA946F2D-87F0-48FF-913A-088A0B4B0C76}" name="SenderName" dataDxfId="21">
      <calculatedColumnFormula>IF(InvDump[[#This Row],[InvoiceNo]]&lt;&gt;"",CustomerData!$G$2,"")</calculatedColumnFormula>
    </tableColumn>
    <tableColumn id="9" xr3:uid="{B90DCDB3-B69D-4473-8382-B0F499483031}" name="SenderEmail" dataDxfId="20" dataCellStyle="Hyperlink"/>
    <tableColumn id="10" xr3:uid="{207C7566-D595-4140-941A-4D5E7C268364}" name="EmailCC" dataDxfId="19" dataCellStyle="Hyperlink">
      <calculatedColumnFormula array="1">IF(InvDump[[#This Row],[Company]]&lt;&gt;"",_xlfn.XLOOKUP(InvDump[[#This Row],[Company]]&amp;InvDump[[#This Row],[Location]],CustomerData!B:B&amp;CustomerData!C:C,CustomerData!F:F,"Email Not Maintained"),"")</calculatedColumnFormula>
    </tableColumn>
    <tableColumn id="12" xr3:uid="{4E55B573-C09D-44E7-AA87-1E372790C29E}" name="GST1" dataDxfId="18">
      <calculatedColumnFormula>IF(InvDump[[#This Row],[InvAmount]]&lt;&gt;"",InvDump[[#This Row],[InvAmount]]*9%,"")</calculatedColumnFormula>
    </tableColumn>
    <tableColumn id="13" xr3:uid="{23121A0A-EF76-4F5D-BE99-9391B3FDD6F0}" name="GST2" dataDxfId="17">
      <calculatedColumnFormula>InvDump[[#This Row],[GST1]]</calculatedColumnFormula>
    </tableColumn>
    <tableColumn id="14" xr3:uid="{E76E5A04-C04E-4857-BE81-FE214CA6E745}" name="InvTotal" dataDxfId="16">
      <calculatedColumnFormula>IF(InvDump[[#This Row],[InvAmount]]&lt;&gt;"",SUM(InvDump[[#This Row],[InvAmount]:[GST2]]),"")</calculatedColumnFormula>
    </tableColumn>
    <tableColumn id="18" xr3:uid="{B0858735-D3FC-4ABB-9EB1-029ADE275B65}" name="Invoice File Name" dataDxfId="15">
      <calculatedColumnFormula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calculatedColumnFormula>
    </tableColumn>
    <tableColumn id="16" xr3:uid="{3D17232E-B2DC-4D26-9369-7523EEFE0AA8}" name="InvoiceAttachmentPath" dataDxfId="14">
      <calculatedColumnFormula array="1">IFERROR(FindFilePath(InvDump[[#This Row],[Invoice File Name]]&amp;".pdf",ControlPanel!$C$14), "")</calculatedColumnFormula>
    </tableColumn>
    <tableColumn id="19" xr3:uid="{7FBE1775-1F30-4519-9929-EC0FA8DFC94F}" name="Annexure File Name" dataDxfId="13">
      <calculatedColumnFormula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calculatedColumnFormula>
    </tableColumn>
    <tableColumn id="17" xr3:uid="{25FA69F2-579C-42B9-8ECC-482AC0528B66}" name="AnnexureAttachmentPath" dataDxfId="12">
      <calculatedColumnFormula array="1">IFERROR(FindFilePath(InvDump[[#This Row],[Annexure File Name]]&amp;".pdf",ControlPanel!$C$14), "")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7F1429-8D21-40D6-9F60-EAE91057A752}" name="Table1" displayName="Table1" ref="A3:F13" totalsRowShown="0" headerRowDxfId="10" dataDxfId="8" headerRowBorderDxfId="9" tableBorderDxfId="7" totalsRowBorderDxfId="6">
  <autoFilter ref="A3:F13" xr:uid="{087F1429-8D21-40D6-9F60-EAE91057A752}"/>
  <sortState xmlns:xlrd2="http://schemas.microsoft.com/office/spreadsheetml/2017/richdata2" ref="A4:F13">
    <sortCondition ref="B3:B13"/>
  </sortState>
  <tableColumns count="6">
    <tableColumn id="1" xr3:uid="{DA637912-22C4-45D4-B96E-EE951ADD4CAA}" name="Sl No" dataDxfId="5"/>
    <tableColumn id="2" xr3:uid="{07DB186D-BE24-4510-8816-D3ADA2574B2D}" name="CUSTOMER NAME" dataDxfId="4"/>
    <tableColumn id="6" xr3:uid="{42C91E24-C573-45F2-BFF3-641DA8872A97}" name="LOCATION" dataDxfId="3"/>
    <tableColumn id="3" xr3:uid="{51CEC905-5A9E-4706-A64B-2E365BDA9D8A}" name="Brand Name" dataDxfId="2"/>
    <tableColumn id="4" xr3:uid="{BA8F90AE-DB52-4F00-BA2C-655AA85D1740}" name="Email ID" dataDxfId="1"/>
    <tableColumn id="5" xr3:uid="{99BF6ED7-FAA5-44B1-AA89-9EEEFB85204E}" name="CC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abc@gmail.com" TargetMode="External"/><Relationship Id="rId2" Type="http://schemas.openxmlformats.org/officeDocument/2006/relationships/hyperlink" Target="mailto:abc@gmail.com" TargetMode="External"/><Relationship Id="rId1" Type="http://schemas.openxmlformats.org/officeDocument/2006/relationships/hyperlink" Target="mailto:abc@gmail.com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6.xml"/><Relationship Id="rId4" Type="http://schemas.openxmlformats.org/officeDocument/2006/relationships/hyperlink" Target="mailto:abc@gmail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32A8B-76F1-4D78-BCB8-374482FA638F}">
  <sheetPr codeName="Sheet7"/>
  <dimension ref="A2:M31"/>
  <sheetViews>
    <sheetView showGridLines="0" tabSelected="1" zoomScale="85" zoomScaleNormal="85" workbookViewId="0">
      <selection activeCell="C14" sqref="C14:I14"/>
    </sheetView>
  </sheetViews>
  <sheetFormatPr defaultColWidth="0" defaultRowHeight="14.4" x14ac:dyDescent="0.3"/>
  <cols>
    <col min="1" max="2" width="8.88671875" customWidth="1"/>
    <col min="3" max="3" width="12.5546875" bestFit="1" customWidth="1"/>
    <col min="4" max="5" width="11.5546875" customWidth="1"/>
    <col min="6" max="6" width="15.88671875" bestFit="1" customWidth="1"/>
    <col min="7" max="9" width="11.5546875" customWidth="1"/>
    <col min="10" max="10" width="9.5546875" customWidth="1"/>
    <col min="11" max="12" width="8.88671875" customWidth="1"/>
    <col min="13" max="13" width="0" hidden="1" customWidth="1"/>
    <col min="14" max="16384" width="8.88671875" hidden="1"/>
  </cols>
  <sheetData>
    <row r="2" spans="2:13" ht="18" x14ac:dyDescent="0.3">
      <c r="B2" s="80" t="s">
        <v>81</v>
      </c>
      <c r="C2" s="81"/>
      <c r="D2" s="81"/>
      <c r="E2" s="81"/>
      <c r="F2" s="81"/>
      <c r="G2" s="81"/>
      <c r="H2" s="81"/>
      <c r="I2" s="81"/>
      <c r="J2" s="82"/>
    </row>
    <row r="3" spans="2:13" x14ac:dyDescent="0.3">
      <c r="B3" s="53"/>
      <c r="C3" s="51"/>
      <c r="D3" s="51"/>
      <c r="E3" s="51"/>
      <c r="F3" s="51"/>
      <c r="G3" s="51"/>
      <c r="H3" s="51"/>
      <c r="I3" s="51"/>
      <c r="J3" s="52"/>
    </row>
    <row r="4" spans="2:13" x14ac:dyDescent="0.3">
      <c r="B4" s="53"/>
      <c r="C4" s="51"/>
      <c r="D4" s="51"/>
      <c r="E4" s="51"/>
      <c r="F4" s="51"/>
      <c r="G4" s="51"/>
      <c r="H4" s="51"/>
      <c r="I4" s="51"/>
      <c r="J4" s="52"/>
    </row>
    <row r="5" spans="2:13" ht="17.399999999999999" customHeight="1" x14ac:dyDescent="0.3">
      <c r="B5" s="53"/>
      <c r="C5" s="92" t="s">
        <v>70</v>
      </c>
      <c r="D5" s="92"/>
      <c r="E5" s="92" t="s">
        <v>71</v>
      </c>
      <c r="F5" s="92"/>
      <c r="G5" s="92" t="s">
        <v>72</v>
      </c>
      <c r="H5" s="92"/>
      <c r="I5" s="92"/>
      <c r="J5" s="52"/>
      <c r="M5" t="s">
        <v>76</v>
      </c>
    </row>
    <row r="6" spans="2:13" x14ac:dyDescent="0.3">
      <c r="B6" s="53"/>
      <c r="C6" s="89" t="s">
        <v>73</v>
      </c>
      <c r="D6" s="89"/>
      <c r="E6" s="91" t="s">
        <v>76</v>
      </c>
      <c r="F6" s="91"/>
      <c r="G6" s="89" t="s">
        <v>80</v>
      </c>
      <c r="H6" s="89"/>
      <c r="I6" s="89"/>
      <c r="J6" s="52"/>
      <c r="M6" t="s">
        <v>77</v>
      </c>
    </row>
    <row r="7" spans="2:13" x14ac:dyDescent="0.3">
      <c r="B7" s="53"/>
      <c r="C7" s="89" t="s">
        <v>74</v>
      </c>
      <c r="D7" s="89"/>
      <c r="E7" s="91" t="s">
        <v>78</v>
      </c>
      <c r="F7" s="91"/>
      <c r="G7" s="89" t="str">
        <f>IF($E$6="Send","Not Applicable","Select 'Batch' or 'Selected Row'")</f>
        <v>Select 'Batch' or 'Selected Row'</v>
      </c>
      <c r="H7" s="89"/>
      <c r="I7" s="89"/>
      <c r="J7" s="52"/>
    </row>
    <row r="8" spans="2:13" ht="15" thickBot="1" x14ac:dyDescent="0.35">
      <c r="B8" s="53"/>
      <c r="C8" s="90" t="s">
        <v>75</v>
      </c>
      <c r="D8" s="90"/>
      <c r="E8" s="93">
        <v>1</v>
      </c>
      <c r="F8" s="93"/>
      <c r="G8" s="90" t="str" cm="1">
        <f t="array" ref="G8">_xlfn.IFS($E$6="Send","Not Applicable",$E$7="Selected Row","Not Applicable",$E$6="Preview","Enter number of invoices to preview")</f>
        <v>Enter number of invoices to preview</v>
      </c>
      <c r="H8" s="90"/>
      <c r="I8" s="90"/>
      <c r="J8" s="52"/>
      <c r="M8" t="s">
        <v>78</v>
      </c>
    </row>
    <row r="9" spans="2:13" ht="15" thickTop="1" x14ac:dyDescent="0.3">
      <c r="B9" s="53"/>
      <c r="C9" s="51"/>
      <c r="D9" s="51"/>
      <c r="E9" s="51"/>
      <c r="F9" s="51"/>
      <c r="G9" s="51"/>
      <c r="H9" s="51"/>
      <c r="I9" s="51"/>
      <c r="J9" s="52"/>
      <c r="M9" t="s">
        <v>79</v>
      </c>
    </row>
    <row r="10" spans="2:13" x14ac:dyDescent="0.3">
      <c r="B10" s="53"/>
      <c r="C10" s="51"/>
      <c r="D10" s="51"/>
      <c r="E10" s="51"/>
      <c r="F10" s="51"/>
      <c r="G10" s="51"/>
      <c r="H10" s="51"/>
      <c r="I10" s="51"/>
      <c r="J10" s="52"/>
    </row>
    <row r="11" spans="2:13" ht="17.399999999999999" customHeight="1" x14ac:dyDescent="0.3">
      <c r="B11" s="53"/>
      <c r="C11" s="51"/>
      <c r="D11" s="51"/>
      <c r="E11" s="51"/>
      <c r="F11" s="51"/>
      <c r="G11" s="51"/>
      <c r="H11" s="51"/>
      <c r="I11" s="51"/>
      <c r="J11" s="52"/>
    </row>
    <row r="12" spans="2:13" ht="16.2" customHeight="1" x14ac:dyDescent="0.3">
      <c r="B12" s="53"/>
      <c r="C12" s="51"/>
      <c r="D12" s="51"/>
      <c r="E12" s="51"/>
      <c r="F12" s="51"/>
      <c r="G12" s="51"/>
      <c r="H12" s="51"/>
      <c r="I12" s="51"/>
      <c r="J12" s="52"/>
    </row>
    <row r="13" spans="2:13" ht="15.6" x14ac:dyDescent="0.3">
      <c r="B13" s="53"/>
      <c r="C13" s="86" t="s">
        <v>82</v>
      </c>
      <c r="D13" s="87"/>
      <c r="E13" s="87"/>
      <c r="F13" s="87"/>
      <c r="G13" s="87"/>
      <c r="H13" s="87"/>
      <c r="I13" s="88"/>
      <c r="J13" s="52"/>
    </row>
    <row r="14" spans="2:13" x14ac:dyDescent="0.3">
      <c r="B14" s="53"/>
      <c r="C14" s="83"/>
      <c r="D14" s="84"/>
      <c r="E14" s="84"/>
      <c r="F14" s="84"/>
      <c r="G14" s="84"/>
      <c r="H14" s="84"/>
      <c r="I14" s="85"/>
      <c r="J14" s="52"/>
    </row>
    <row r="15" spans="2:13" x14ac:dyDescent="0.3">
      <c r="B15" s="53"/>
      <c r="C15" s="51"/>
      <c r="D15" s="51"/>
      <c r="E15" s="51"/>
      <c r="F15" s="51"/>
      <c r="G15" s="51"/>
      <c r="H15" s="51"/>
      <c r="I15" s="51"/>
      <c r="J15" s="52"/>
    </row>
    <row r="16" spans="2:13" ht="15.6" x14ac:dyDescent="0.3">
      <c r="B16" s="53"/>
      <c r="C16" s="100" t="s">
        <v>83</v>
      </c>
      <c r="D16" s="101"/>
      <c r="E16" s="102"/>
      <c r="F16" s="51"/>
      <c r="G16" s="97" t="s">
        <v>91</v>
      </c>
      <c r="H16" s="97"/>
      <c r="I16" s="97"/>
      <c r="J16" s="52"/>
    </row>
    <row r="17" spans="2:10" x14ac:dyDescent="0.3">
      <c r="B17" s="53"/>
      <c r="C17" s="54" t="s">
        <v>90</v>
      </c>
      <c r="D17" s="76"/>
      <c r="E17" s="57">
        <v>1</v>
      </c>
      <c r="F17" s="51"/>
      <c r="G17" s="51"/>
      <c r="H17" s="51"/>
      <c r="I17" s="51"/>
      <c r="J17" s="52"/>
    </row>
    <row r="18" spans="2:10" x14ac:dyDescent="0.3">
      <c r="B18" s="53"/>
      <c r="C18" s="54" t="s">
        <v>85</v>
      </c>
      <c r="D18" s="76"/>
      <c r="E18" s="57">
        <v>1</v>
      </c>
      <c r="F18" s="51"/>
      <c r="G18" s="51"/>
      <c r="H18" s="51"/>
      <c r="I18" s="51"/>
      <c r="J18" s="52"/>
    </row>
    <row r="19" spans="2:10" x14ac:dyDescent="0.3">
      <c r="B19" s="53"/>
      <c r="C19" s="54" t="s">
        <v>86</v>
      </c>
      <c r="D19" s="76"/>
      <c r="E19" s="57">
        <v>1</v>
      </c>
      <c r="F19" s="51"/>
      <c r="G19" s="51"/>
      <c r="H19" s="51"/>
      <c r="I19" s="51"/>
      <c r="J19" s="52"/>
    </row>
    <row r="20" spans="2:10" x14ac:dyDescent="0.3">
      <c r="B20" s="53"/>
      <c r="C20" s="54" t="s">
        <v>87</v>
      </c>
      <c r="D20" s="76"/>
      <c r="E20" s="57">
        <v>0</v>
      </c>
      <c r="F20" s="51"/>
      <c r="G20" s="51"/>
      <c r="H20" s="51"/>
      <c r="I20" s="51"/>
      <c r="J20" s="52"/>
    </row>
    <row r="21" spans="2:10" x14ac:dyDescent="0.3">
      <c r="B21" s="53"/>
      <c r="C21" s="55" t="s">
        <v>88</v>
      </c>
      <c r="D21" s="56"/>
      <c r="E21" s="58">
        <v>0</v>
      </c>
      <c r="F21" s="51"/>
      <c r="G21" s="51"/>
      <c r="H21" s="51"/>
      <c r="I21" s="51"/>
      <c r="J21" s="52"/>
    </row>
    <row r="22" spans="2:10" ht="18.600000000000001" customHeight="1" x14ac:dyDescent="0.3">
      <c r="B22" s="53"/>
      <c r="C22" s="51"/>
      <c r="D22" s="51"/>
      <c r="E22" s="51"/>
      <c r="F22" s="51"/>
      <c r="G22" s="51"/>
      <c r="H22" s="51"/>
      <c r="I22" s="51"/>
      <c r="J22" s="52"/>
    </row>
    <row r="23" spans="2:10" x14ac:dyDescent="0.3">
      <c r="B23" s="53"/>
      <c r="C23" s="51"/>
      <c r="D23" s="51"/>
      <c r="E23" s="51"/>
      <c r="F23" s="51"/>
      <c r="G23" s="51"/>
      <c r="H23" s="51"/>
      <c r="I23" s="51"/>
      <c r="J23" s="52"/>
    </row>
    <row r="24" spans="2:10" ht="15.6" x14ac:dyDescent="0.3">
      <c r="B24" s="53"/>
      <c r="C24" s="51"/>
      <c r="D24" s="51"/>
      <c r="E24" s="97" t="s">
        <v>89</v>
      </c>
      <c r="F24" s="97"/>
      <c r="G24" s="97"/>
      <c r="H24" s="51"/>
      <c r="I24" s="51"/>
      <c r="J24" s="52"/>
    </row>
    <row r="25" spans="2:10" x14ac:dyDescent="0.3">
      <c r="B25" s="53"/>
      <c r="C25" s="51"/>
      <c r="D25" s="51"/>
      <c r="E25" s="51"/>
      <c r="F25" s="51"/>
      <c r="G25" s="51"/>
      <c r="H25" s="51"/>
      <c r="I25" s="51"/>
      <c r="J25" s="52"/>
    </row>
    <row r="26" spans="2:10" x14ac:dyDescent="0.3">
      <c r="B26" s="53"/>
      <c r="C26" s="51"/>
      <c r="D26" s="51"/>
      <c r="E26" s="51"/>
      <c r="F26" s="51"/>
      <c r="G26" s="51"/>
      <c r="H26" s="51"/>
      <c r="I26" s="51"/>
      <c r="J26" s="52"/>
    </row>
    <row r="27" spans="2:10" x14ac:dyDescent="0.3">
      <c r="B27" s="53"/>
      <c r="C27" s="51"/>
      <c r="D27" s="51"/>
      <c r="E27" s="51"/>
      <c r="F27" s="51"/>
      <c r="G27" s="51"/>
      <c r="H27" s="51"/>
      <c r="I27" s="51"/>
      <c r="J27" s="52"/>
    </row>
    <row r="28" spans="2:10" x14ac:dyDescent="0.3">
      <c r="B28" s="53"/>
      <c r="C28" s="51"/>
      <c r="D28" s="51"/>
      <c r="E28" s="51"/>
      <c r="F28" s="51"/>
      <c r="G28" s="51"/>
      <c r="H28" s="51"/>
      <c r="I28" s="51"/>
      <c r="J28" s="52"/>
    </row>
    <row r="29" spans="2:10" x14ac:dyDescent="0.3">
      <c r="B29" s="53"/>
      <c r="C29" s="51"/>
      <c r="D29" s="51"/>
      <c r="E29" s="51"/>
      <c r="F29" s="51"/>
      <c r="G29" s="51"/>
      <c r="H29" s="51"/>
      <c r="I29" s="51"/>
      <c r="J29" s="52"/>
    </row>
    <row r="30" spans="2:10" x14ac:dyDescent="0.3">
      <c r="B30" s="53"/>
      <c r="C30" s="51"/>
      <c r="D30" s="98" t="s">
        <v>84</v>
      </c>
      <c r="E30" s="99"/>
      <c r="F30" s="94">
        <v>46105.463229166664</v>
      </c>
      <c r="G30" s="95"/>
      <c r="H30" s="96"/>
      <c r="I30" s="51"/>
      <c r="J30" s="52"/>
    </row>
    <row r="31" spans="2:10" x14ac:dyDescent="0.3">
      <c r="B31" s="48"/>
      <c r="C31" s="49"/>
      <c r="D31" s="49"/>
      <c r="E31" s="49"/>
      <c r="F31" s="49"/>
      <c r="G31" s="49"/>
      <c r="H31" s="49"/>
      <c r="I31" s="49"/>
      <c r="J31" s="50"/>
    </row>
  </sheetData>
  <sheetProtection algorithmName="SHA-512" hashValue="jwF1Pl7x6M7K13SFc2rHbBVkZYh0yRFSX03nPw3nw2vRERH0wIO2Q13FKeP+4bmM6+2+fXWFgAFVZAn5J12LaQ==" saltValue="Cfn5oq0W608wu0z76qJo8w==" spinCount="100000" sheet="1" objects="1" scenarios="1"/>
  <mergeCells count="20">
    <mergeCell ref="F30:H30"/>
    <mergeCell ref="E24:G24"/>
    <mergeCell ref="D30:E30"/>
    <mergeCell ref="C16:E16"/>
    <mergeCell ref="G16:I16"/>
    <mergeCell ref="B2:J2"/>
    <mergeCell ref="C14:I14"/>
    <mergeCell ref="C13:I13"/>
    <mergeCell ref="C7:D7"/>
    <mergeCell ref="C8:D8"/>
    <mergeCell ref="E7:F7"/>
    <mergeCell ref="G6:I6"/>
    <mergeCell ref="G5:I5"/>
    <mergeCell ref="G7:I7"/>
    <mergeCell ref="G8:I8"/>
    <mergeCell ref="E8:F8"/>
    <mergeCell ref="C5:D5"/>
    <mergeCell ref="E5:F5"/>
    <mergeCell ref="C6:D6"/>
    <mergeCell ref="E6:F6"/>
  </mergeCells>
  <conditionalFormatting sqref="E7:F8">
    <cfRule type="expression" dxfId="59" priority="2">
      <formula>$E$6="Send"</formula>
    </cfRule>
  </conditionalFormatting>
  <conditionalFormatting sqref="E8:F8">
    <cfRule type="expression" dxfId="58" priority="1">
      <formula>$E$7="Selected Row"</formula>
    </cfRule>
  </conditionalFormatting>
  <dataValidations count="2">
    <dataValidation type="list" allowBlank="1" showInputMessage="1" showErrorMessage="1" sqref="E6:F6" xr:uid="{B57FD4CC-2FE0-41EE-B7E1-2CF84B094D0B}">
      <formula1>$M$5:$M$6</formula1>
    </dataValidation>
    <dataValidation type="list" allowBlank="1" showInputMessage="1" showErrorMessage="1" sqref="E7:F7" xr:uid="{3752CA02-9C14-4E32-BA8A-2BB7A0884F4E}">
      <formula1>$M$8:$M$9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3" name="Button 5">
              <controlPr defaultSize="0" print="0" autoFill="0" autoPict="0" macro="[0]!ChoosePath.ChoosePath">
                <anchor moveWithCells="1">
                  <from>
                    <xdr:col>8</xdr:col>
                    <xdr:colOff>53340</xdr:colOff>
                    <xdr:row>12</xdr:row>
                    <xdr:rowOff>30480</xdr:rowOff>
                  </from>
                  <to>
                    <xdr:col>8</xdr:col>
                    <xdr:colOff>769620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2"/>
  <sheetViews>
    <sheetView showGridLines="0" zoomScale="85" zoomScaleNormal="85" workbookViewId="0">
      <pane xSplit="7" ySplit="3" topLeftCell="H4" activePane="bottomRight" state="frozen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8.44140625" defaultRowHeight="14.4" x14ac:dyDescent="0.3"/>
  <cols>
    <col min="1" max="1" width="18.6640625" style="41" bestFit="1" customWidth="1"/>
    <col min="2" max="2" width="16.6640625" bestFit="1" customWidth="1"/>
    <col min="3" max="3" width="18.44140625" bestFit="1" customWidth="1"/>
    <col min="4" max="4" width="16.88671875" bestFit="1" customWidth="1"/>
    <col min="5" max="5" width="20" bestFit="1" customWidth="1"/>
    <col min="6" max="6" width="59.5546875" bestFit="1" customWidth="1"/>
    <col min="7" max="7" width="29.21875" bestFit="1" customWidth="1"/>
    <col min="8" max="8" width="11.44140625" bestFit="1" customWidth="1"/>
    <col min="9" max="9" width="17.6640625" bestFit="1" customWidth="1"/>
    <col min="10" max="10" width="32" bestFit="1" customWidth="1"/>
    <col min="11" max="11" width="71.109375" bestFit="1" customWidth="1"/>
    <col min="12" max="12" width="16.33203125" bestFit="1" customWidth="1"/>
    <col min="13" max="14" width="10.5546875" bestFit="1" customWidth="1"/>
    <col min="15" max="15" width="13.44140625" bestFit="1" customWidth="1"/>
    <col min="16" max="16" width="15.77734375" bestFit="1" customWidth="1"/>
    <col min="17" max="17" width="10.6640625" bestFit="1" customWidth="1"/>
    <col min="18" max="19" width="20.109375" bestFit="1" customWidth="1"/>
    <col min="20" max="20" width="21.109375" bestFit="1" customWidth="1"/>
  </cols>
  <sheetData>
    <row r="1" spans="1:19" x14ac:dyDescent="0.3">
      <c r="E1" s="15"/>
      <c r="N1" s="1"/>
    </row>
    <row r="2" spans="1:19" x14ac:dyDescent="0.3">
      <c r="A2" s="4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O2" s="1"/>
      <c r="P2" s="1"/>
      <c r="Q2" s="1"/>
    </row>
    <row r="3" spans="1:19" x14ac:dyDescent="0.3">
      <c r="A3" s="77" t="s">
        <v>2</v>
      </c>
      <c r="B3" s="59" t="s">
        <v>47</v>
      </c>
      <c r="C3" s="59" t="s">
        <v>42</v>
      </c>
      <c r="D3" s="59" t="s">
        <v>3</v>
      </c>
      <c r="E3" s="59" t="s">
        <v>0</v>
      </c>
      <c r="F3" s="59" t="s">
        <v>16</v>
      </c>
      <c r="G3" s="59" t="s">
        <v>17</v>
      </c>
      <c r="H3" s="59" t="s">
        <v>18</v>
      </c>
      <c r="I3" s="59" t="s">
        <v>4</v>
      </c>
      <c r="J3" s="59" t="s">
        <v>5</v>
      </c>
      <c r="K3" s="59" t="s">
        <v>19</v>
      </c>
      <c r="L3" s="59" t="s">
        <v>6</v>
      </c>
      <c r="M3" s="59" t="s">
        <v>7</v>
      </c>
      <c r="N3" s="59" t="s">
        <v>8</v>
      </c>
      <c r="O3" s="59" t="s">
        <v>9</v>
      </c>
      <c r="P3" s="59" t="s">
        <v>65</v>
      </c>
      <c r="Q3" s="59" t="s">
        <v>49</v>
      </c>
      <c r="R3" s="59" t="s">
        <v>131</v>
      </c>
      <c r="S3" s="60" t="s">
        <v>1</v>
      </c>
    </row>
    <row r="4" spans="1:19" x14ac:dyDescent="0.3">
      <c r="A4" s="68" t="s">
        <v>121</v>
      </c>
      <c r="B4" s="61">
        <f>IFERROR(VLOOKUP($A4,InvDump[#All],MATCH(B$3,InvDump[#Headers],0),FALSE),"-")</f>
        <v>45689</v>
      </c>
      <c r="C4" s="62">
        <f>IFERROR(VLOOKUP($A4,InvDump[#All],MATCH(C$3,InvDump[#Headers],0),FALSE),"-")</f>
        <v>45658</v>
      </c>
      <c r="D4" s="61" t="str">
        <f>IFERROR(VLOOKUP($A4,InvDump[#All],MATCH(D$3,InvDump[#Headers],0),FALSE),"-")</f>
        <v>Electricity</v>
      </c>
      <c r="E4" s="61" t="str">
        <f>IFERROR(VLOOKUP($A4,InvDump[#All],MATCH(E$3,InvDump[#Headers],0),FALSE),"-")</f>
        <v>Sir/Ma'am</v>
      </c>
      <c r="F4" s="61" t="str">
        <f>IFERROR(VLOOKUP($A4,InvDump[#All],MATCH(F$3,InvDump[#Headers],0),FALSE),"-")</f>
        <v>abc@gmail.com</v>
      </c>
      <c r="G4" s="61" t="str">
        <f>IFERROR(VLOOKUP($A4,InvDump[#All],MATCH(G$3,InvDump[#Headers],0),FALSE),"-")</f>
        <v>ABCD Ltd</v>
      </c>
      <c r="H4" s="63" t="str">
        <f>IFERROR(VLOOKUP(G4,CustomerData!$B$4:$D$13,3),"-")</f>
        <v>TEA</v>
      </c>
      <c r="I4" s="61" t="str">
        <f>IFERROR(VLOOKUP($A4,InvDump[#All],MATCH(I$3,InvDump[#Headers],0),FALSE),"-")</f>
        <v>XXXXX</v>
      </c>
      <c r="J4" s="61" t="str">
        <f>IFERROR(VLOOKUP($A4,InvDump[#All],MATCH(J$3,InvDump[#Headers],0),FALSE),"-")</f>
        <v>fhkdslk@outlook.com</v>
      </c>
      <c r="K4" s="61" t="str">
        <f>IFERROR(VLOOKUP($A4,InvDump[#All],MATCH(K$3,InvDump[#Headers],0),FALSE),"-")</f>
        <v>abc@gmail.com</v>
      </c>
      <c r="L4" s="64">
        <f>IFERROR(VLOOKUP($A4,InvDump[#All],MATCH(L$3,InvDump[#Headers],0),FALSE),"-")</f>
        <v>5000</v>
      </c>
      <c r="M4" s="64">
        <f>IFERROR(VLOOKUP($A4,InvDump[#All],MATCH(M$3,InvDump[#Headers],0),FALSE),"-")</f>
        <v>450</v>
      </c>
      <c r="N4" s="64">
        <f>IFERROR(VLOOKUP($A4,InvDump[#All],MATCH(N$3,InvDump[#Headers],0),FALSE),"-")</f>
        <v>450</v>
      </c>
      <c r="O4" s="64">
        <f>IFERROR(VLOOKUP($A4,InvDump[#All],MATCH(O$3,InvDump[#Headers],0),FALSE),"-")</f>
        <v>6100</v>
      </c>
      <c r="P4" s="65">
        <f>IFERROR(VLOOKUP($A4,InvDump[#All],MATCH(P$3,InvDump[#Headers],0),FALSE),"")</f>
        <v>0</v>
      </c>
      <c r="Q4" s="65">
        <f>IFERROR(VLOOKUP($A4,InvDump[#All],MATCH(Q$3,InvDump[#Headers],0),FALSE),"")</f>
        <v>200</v>
      </c>
      <c r="R4" s="65" t="str">
        <f>IFERROR(IF(VLOOKUP($A4,InvDump[#All],MATCH(R$3,InvDump[#Headers],0),FALSE)=0,"",VLOOKUP($A4,InvDump[#All],MATCH(R$3,InvDump[#Headers],0),FALSE)),"")</f>
        <v>DELHI</v>
      </c>
      <c r="S4" s="66" t="str">
        <f>IFERROR(IF(InvDump[[#This Row],[Annexure]]="Yes",VLOOKUP($A4,InvDump[#All],20,FALSE)&amp;"; "&amp;VLOOKUP($A4,InvDump[#All],22,FALSE),VLOOKUP($A4,InvDump[#All],20,FALSE)),"")</f>
        <v/>
      </c>
    </row>
    <row r="5" spans="1:19" x14ac:dyDescent="0.3">
      <c r="A5" s="68" t="s">
        <v>122</v>
      </c>
      <c r="B5" s="61">
        <f>IFERROR(VLOOKUP($A5,InvDump[#All],MATCH(B$3,InvDump[#Headers],0),FALSE),"-")</f>
        <v>45689</v>
      </c>
      <c r="C5" s="62">
        <f>IFERROR(VLOOKUP($A5,InvDump[#All],MATCH(C$3,InvDump[#Headers],0),FALSE),"-")</f>
        <v>45658</v>
      </c>
      <c r="D5" s="61" t="str">
        <f>IFERROR(VLOOKUP($A5,InvDump[#All],MATCH(D$3,InvDump[#Headers],0),FALSE),"-")</f>
        <v>Electricity</v>
      </c>
      <c r="E5" s="61" t="str">
        <f>IFERROR(VLOOKUP($A5,InvDump[#All],MATCH(E$3,InvDump[#Headers],0),FALSE),"-")</f>
        <v>Sir/Ma'am</v>
      </c>
      <c r="F5" s="61" t="str">
        <f>IFERROR(VLOOKUP($A5,InvDump[#All],MATCH(F$3,InvDump[#Headers],0),FALSE),"-")</f>
        <v>abc@gmail.com</v>
      </c>
      <c r="G5" s="61" t="str">
        <f>IFERROR(VLOOKUP($A5,InvDump[#All],MATCH(G$3,InvDump[#Headers],0),FALSE),"-")</f>
        <v>EFGGH Ltd</v>
      </c>
      <c r="H5" s="63" t="str">
        <f>IFERROR(VLOOKUP(G5,CustomerData!$B$4:$D$13,3),"-")</f>
        <v>OIL</v>
      </c>
      <c r="I5" s="61" t="str">
        <f>IFERROR(VLOOKUP($A5,InvDump[#All],MATCH(I$3,InvDump[#Headers],0),FALSE),"-")</f>
        <v>XXXXX</v>
      </c>
      <c r="J5" s="61" t="str">
        <f>IFERROR(VLOOKUP($A5,InvDump[#All],MATCH(J$3,InvDump[#Headers],0),FALSE),"-")</f>
        <v>fhkdslk@outlook.com</v>
      </c>
      <c r="K5" s="61" t="str">
        <f>IFERROR(VLOOKUP($A5,InvDump[#All],MATCH(K$3,InvDump[#Headers],0),FALSE),"-")</f>
        <v>abc@gmail.com</v>
      </c>
      <c r="L5" s="64">
        <f>IFERROR(VLOOKUP($A5,InvDump[#All],MATCH(L$3,InvDump[#Headers],0),FALSE),"-")</f>
        <v>20000</v>
      </c>
      <c r="M5" s="64">
        <f>IFERROR(VLOOKUP($A5,InvDump[#All],MATCH(M$3,InvDump[#Headers],0),FALSE),"-")</f>
        <v>1800</v>
      </c>
      <c r="N5" s="64">
        <f>IFERROR(VLOOKUP($A5,InvDump[#All],MATCH(N$3,InvDump[#Headers],0),FALSE),"-")</f>
        <v>1800</v>
      </c>
      <c r="O5" s="64">
        <f>IFERROR(VLOOKUP($A5,InvDump[#All],MATCH(O$3,InvDump[#Headers],0),FALSE),"-")</f>
        <v>24100</v>
      </c>
      <c r="P5" s="65">
        <f>IFERROR(VLOOKUP($A5,InvDump[#All],MATCH(P$3,InvDump[#Headers],0),FALSE),"")</f>
        <v>0</v>
      </c>
      <c r="Q5" s="65">
        <f>IFERROR(VLOOKUP($A5,InvDump[#All],MATCH(Q$3,InvDump[#Headers],0),FALSE),"")</f>
        <v>500</v>
      </c>
      <c r="R5" s="65" t="str">
        <f>IFERROR(IF(VLOOKUP($A5,InvDump[#All],MATCH(R$3,InvDump[#Headers],0),FALSE)=0,"",VLOOKUP($A5,InvDump[#All],MATCH(R$3,InvDump[#Headers],0),FALSE)),"")</f>
        <v>HYDERABAD</v>
      </c>
      <c r="S5" s="66" t="str">
        <f>IFERROR(IF(InvDump[[#This Row],[Annexure]]="Yes",VLOOKUP($A5,InvDump[#All],20,FALSE)&amp;"; "&amp;VLOOKUP($A5,InvDump[#All],22,FALSE),VLOOKUP($A5,InvDump[#All],20,FALSE)),"")</f>
        <v/>
      </c>
    </row>
    <row r="6" spans="1:19" x14ac:dyDescent="0.3">
      <c r="A6" s="68" t="s">
        <v>123</v>
      </c>
      <c r="B6" s="61">
        <f>IFERROR(VLOOKUP($A6,InvDump[#All],MATCH(B$3,InvDump[#Headers],0),FALSE),"-")</f>
        <v>45689</v>
      </c>
      <c r="C6" s="62">
        <f>IFERROR(VLOOKUP($A6,InvDump[#All],MATCH(C$3,InvDump[#Headers],0),FALSE),"-")</f>
        <v>45658</v>
      </c>
      <c r="D6" s="61" t="str">
        <f>IFERROR(VLOOKUP($A6,InvDump[#All],MATCH(D$3,InvDump[#Headers],0),FALSE),"-")</f>
        <v>Electricity</v>
      </c>
      <c r="E6" s="61" t="str">
        <f>IFERROR(VLOOKUP($A6,InvDump[#All],MATCH(E$3,InvDump[#Headers],0),FALSE),"-")</f>
        <v>Sir/Ma'am</v>
      </c>
      <c r="F6" s="61" t="str">
        <f>IFERROR(VLOOKUP($A6,InvDump[#All],MATCH(F$3,InvDump[#Headers],0),FALSE),"-")</f>
        <v>abc@gmail.com</v>
      </c>
      <c r="G6" s="61" t="str">
        <f>IFERROR(VLOOKUP($A6,InvDump[#All],MATCH(G$3,InvDump[#Headers],0),FALSE),"-")</f>
        <v>LKJAHSDFKJHASDF Ltd</v>
      </c>
      <c r="H6" s="63" t="str">
        <f>IFERROR(VLOOKUP(G6,CustomerData!$B$4:$D$13,3),"-")</f>
        <v>PULSES</v>
      </c>
      <c r="I6" s="61" t="str">
        <f>IFERROR(VLOOKUP($A6,InvDump[#All],MATCH(I$3,InvDump[#Headers],0),FALSE),"-")</f>
        <v>XXXXX</v>
      </c>
      <c r="J6" s="61" t="str">
        <f>IFERROR(VLOOKUP($A6,InvDump[#All],MATCH(J$3,InvDump[#Headers],0),FALSE),"-")</f>
        <v>fhkdslk@outlook.com</v>
      </c>
      <c r="K6" s="61" t="str">
        <f>IFERROR(VLOOKUP($A6,InvDump[#All],MATCH(K$3,InvDump[#Headers],0),FALSE),"-")</f>
        <v>abc@gmail.com</v>
      </c>
      <c r="L6" s="64">
        <f>IFERROR(VLOOKUP($A6,InvDump[#All],MATCH(L$3,InvDump[#Headers],0),FALSE),"-")</f>
        <v>15000</v>
      </c>
      <c r="M6" s="64">
        <f>IFERROR(VLOOKUP($A6,InvDump[#All],MATCH(M$3,InvDump[#Headers],0),FALSE),"-")</f>
        <v>1350</v>
      </c>
      <c r="N6" s="64">
        <f>IFERROR(VLOOKUP($A6,InvDump[#All],MATCH(N$3,InvDump[#Headers],0),FALSE),"-")</f>
        <v>1350</v>
      </c>
      <c r="O6" s="64">
        <f>IFERROR(VLOOKUP($A6,InvDump[#All],MATCH(O$3,InvDump[#Headers],0),FALSE),"-")</f>
        <v>18000</v>
      </c>
      <c r="P6" s="65">
        <f>IFERROR(VLOOKUP($A6,InvDump[#All],MATCH(P$3,InvDump[#Headers],0),FALSE),"")</f>
        <v>0</v>
      </c>
      <c r="Q6" s="65">
        <f>IFERROR(VLOOKUP($A6,InvDump[#All],MATCH(Q$3,InvDump[#Headers],0),FALSE),"")</f>
        <v>300</v>
      </c>
      <c r="R6" s="65" t="str">
        <f>IFERROR(IF(VLOOKUP($A6,InvDump[#All],MATCH(R$3,InvDump[#Headers],0),FALSE)=0,"",VLOOKUP($A6,InvDump[#All],MATCH(R$3,InvDump[#Headers],0),FALSE)),"")</f>
        <v>AGRA</v>
      </c>
      <c r="S6" s="66" t="str">
        <f>IFERROR(IF(InvDump[[#This Row],[Annexure]]="Yes",VLOOKUP($A6,InvDump[#All],20,FALSE)&amp;"; "&amp;VLOOKUP($A6,InvDump[#All],22,FALSE),VLOOKUP($A6,InvDump[#All],20,FALSE)),"")</f>
        <v/>
      </c>
    </row>
    <row r="7" spans="1:19" x14ac:dyDescent="0.3">
      <c r="A7" s="68" t="s">
        <v>124</v>
      </c>
      <c r="B7" s="61">
        <f>IFERROR(VLOOKUP($A7,InvDump[#All],MATCH(B$3,InvDump[#Headers],0),FALSE),"-")</f>
        <v>45689</v>
      </c>
      <c r="C7" s="62">
        <f>IFERROR(VLOOKUP($A7,InvDump[#All],MATCH(C$3,InvDump[#Headers],0),FALSE),"-")</f>
        <v>45658</v>
      </c>
      <c r="D7" s="61" t="str">
        <f>IFERROR(VLOOKUP($A7,InvDump[#All],MATCH(D$3,InvDump[#Headers],0),FALSE),"-")</f>
        <v>Electricity</v>
      </c>
      <c r="E7" s="61" t="str">
        <f>IFERROR(VLOOKUP($A7,InvDump[#All],MATCH(E$3,InvDump[#Headers],0),FALSE),"-")</f>
        <v>Sir/Ma'am</v>
      </c>
      <c r="F7" s="61" t="str">
        <f>IFERROR(VLOOKUP($A7,InvDump[#All],MATCH(F$3,InvDump[#Headers],0),FALSE),"-")</f>
        <v>abc@gmail.com</v>
      </c>
      <c r="G7" s="61" t="str">
        <f>IFERROR(VLOOKUP($A7,InvDump[#All],MATCH(G$3,InvDump[#Headers],0),FALSE),"-")</f>
        <v>LKAHSDFKJHNVKJD Ltd</v>
      </c>
      <c r="H7" s="63" t="str">
        <f>IFERROR(VLOOKUP(G7,CustomerData!$B$4:$D$13,3),"-")</f>
        <v>PULSES</v>
      </c>
      <c r="I7" s="61" t="str">
        <f>IFERROR(VLOOKUP($A7,InvDump[#All],MATCH(I$3,InvDump[#Headers],0),FALSE),"-")</f>
        <v>XXXXX</v>
      </c>
      <c r="J7" s="61" t="str">
        <f>IFERROR(VLOOKUP($A7,InvDump[#All],MATCH(J$3,InvDump[#Headers],0),FALSE),"-")</f>
        <v>fhkdslk@outlook.com</v>
      </c>
      <c r="K7" s="61" t="str">
        <f>IFERROR(VLOOKUP($A7,InvDump[#All],MATCH(K$3,InvDump[#Headers],0),FALSE),"-")</f>
        <v>abc@gmail.com</v>
      </c>
      <c r="L7" s="64">
        <f>IFERROR(VLOOKUP($A7,InvDump[#All],MATCH(L$3,InvDump[#Headers],0),FALSE),"-")</f>
        <v>400</v>
      </c>
      <c r="M7" s="64">
        <f>IFERROR(VLOOKUP($A7,InvDump[#All],MATCH(M$3,InvDump[#Headers],0),FALSE),"-")</f>
        <v>36</v>
      </c>
      <c r="N7" s="64">
        <f>IFERROR(VLOOKUP($A7,InvDump[#All],MATCH(N$3,InvDump[#Headers],0),FALSE),"-")</f>
        <v>36</v>
      </c>
      <c r="O7" s="64">
        <f>IFERROR(VLOOKUP($A7,InvDump[#All],MATCH(O$3,InvDump[#Headers],0),FALSE),"-")</f>
        <v>572</v>
      </c>
      <c r="P7" s="65">
        <f>IFERROR(VLOOKUP($A7,InvDump[#All],MATCH(P$3,InvDump[#Headers],0),FALSE),"")</f>
        <v>0</v>
      </c>
      <c r="Q7" s="65">
        <f>IFERROR(VLOOKUP($A7,InvDump[#All],MATCH(Q$3,InvDump[#Headers],0),FALSE),"")</f>
        <v>100</v>
      </c>
      <c r="R7" s="65" t="str">
        <f>IFERROR(IF(VLOOKUP($A7,InvDump[#All],MATCH(R$3,InvDump[#Headers],0),FALSE)=0,"",VLOOKUP($A7,InvDump[#All],MATCH(R$3,InvDump[#Headers],0),FALSE)),"")</f>
        <v>CHENNAI</v>
      </c>
      <c r="S7" s="66" t="str">
        <f>IFERROR(IF(InvDump[[#This Row],[Annexure]]="Yes",VLOOKUP($A7,InvDump[#All],20,FALSE)&amp;"; "&amp;VLOOKUP($A7,InvDump[#All],22,FALSE),VLOOKUP($A7,InvDump[#All],20,FALSE)),"")</f>
        <v/>
      </c>
    </row>
    <row r="8" spans="1:19" x14ac:dyDescent="0.3">
      <c r="A8" s="68" t="s">
        <v>125</v>
      </c>
      <c r="B8" s="61">
        <f>IFERROR(VLOOKUP($A8,InvDump[#All],MATCH(B$3,InvDump[#Headers],0),FALSE),"-")</f>
        <v>45689</v>
      </c>
      <c r="C8" s="62">
        <f>IFERROR(VLOOKUP($A8,InvDump[#All],MATCH(C$3,InvDump[#Headers],0),FALSE),"-")</f>
        <v>45658</v>
      </c>
      <c r="D8" s="61" t="str">
        <f>IFERROR(VLOOKUP($A8,InvDump[#All],MATCH(D$3,InvDump[#Headers],0),FALSE),"-")</f>
        <v>Water</v>
      </c>
      <c r="E8" s="61" t="str">
        <f>IFERROR(VLOOKUP($A8,InvDump[#All],MATCH(E$3,InvDump[#Headers],0),FALSE),"-")</f>
        <v>Sir/Ma'am</v>
      </c>
      <c r="F8" s="61" t="str">
        <f>IFERROR(VLOOKUP($A8,InvDump[#All],MATCH(F$3,InvDump[#Headers],0),FALSE),"-")</f>
        <v>abc@gmail.com</v>
      </c>
      <c r="G8" s="61" t="str">
        <f>IFERROR(VLOOKUP($A8,InvDump[#All],MATCH(G$3,InvDump[#Headers],0),FALSE),"-")</f>
        <v>FJKEIISOOS Ltd</v>
      </c>
      <c r="H8" s="63" t="str">
        <f>IFERROR(VLOOKUP(G8,CustomerData!$B$4:$D$13,3),"-")</f>
        <v>TEA</v>
      </c>
      <c r="I8" s="61" t="str">
        <f>IFERROR(VLOOKUP($A8,InvDump[#All],MATCH(I$3,InvDump[#Headers],0),FALSE),"-")</f>
        <v>XXXXX</v>
      </c>
      <c r="J8" s="61" t="str">
        <f>IFERROR(VLOOKUP($A8,InvDump[#All],MATCH(J$3,InvDump[#Headers],0),FALSE),"-")</f>
        <v>fhkdslk@outlook.com</v>
      </c>
      <c r="K8" s="61" t="str">
        <f>IFERROR(VLOOKUP($A8,InvDump[#All],MATCH(K$3,InvDump[#Headers],0),FALSE),"-")</f>
        <v>abc@gmail.com</v>
      </c>
      <c r="L8" s="64">
        <f>IFERROR(VLOOKUP($A8,InvDump[#All],MATCH(L$3,InvDump[#Headers],0),FALSE),"-")</f>
        <v>600</v>
      </c>
      <c r="M8" s="64">
        <f>IFERROR(VLOOKUP($A8,InvDump[#All],MATCH(M$3,InvDump[#Headers],0),FALSE),"-")</f>
        <v>54</v>
      </c>
      <c r="N8" s="64">
        <f>IFERROR(VLOOKUP($A8,InvDump[#All],MATCH(N$3,InvDump[#Headers],0),FALSE),"-")</f>
        <v>54</v>
      </c>
      <c r="O8" s="64">
        <f>IFERROR(VLOOKUP($A8,InvDump[#All],MATCH(O$3,InvDump[#Headers],0),FALSE),"-")</f>
        <v>808</v>
      </c>
      <c r="P8" s="65">
        <f>IFERROR(VLOOKUP($A8,InvDump[#All],MATCH(P$3,InvDump[#Headers],0),FALSE),"")</f>
        <v>20</v>
      </c>
      <c r="Q8" s="65">
        <f>IFERROR(VLOOKUP($A8,InvDump[#All],MATCH(Q$3,InvDump[#Headers],0),FALSE),"")</f>
        <v>80</v>
      </c>
      <c r="R8" s="65" t="str">
        <f>IFERROR(IF(VLOOKUP($A8,InvDump[#All],MATCH(R$3,InvDump[#Headers],0),FALSE)=0,"",VLOOKUP($A8,InvDump[#All],MATCH(R$3,InvDump[#Headers],0),FALSE)),"")</f>
        <v xml:space="preserve"> BENGALURU</v>
      </c>
      <c r="S8" s="66" t="str">
        <f>IFERROR(IF(InvDump[[#This Row],[Annexure]]="Yes",VLOOKUP($A8,InvDump[#All],20,FALSE)&amp;"; "&amp;VLOOKUP($A8,InvDump[#All],22,FALSE),VLOOKUP($A8,InvDump[#All],20,FALSE)),"")</f>
        <v xml:space="preserve">; </v>
      </c>
    </row>
    <row r="9" spans="1:19" x14ac:dyDescent="0.3">
      <c r="A9" s="68" t="s">
        <v>126</v>
      </c>
      <c r="B9" s="61">
        <f>IFERROR(VLOOKUP($A9,InvDump[#All],MATCH(B$3,InvDump[#Headers],0),FALSE),"-")</f>
        <v>45689</v>
      </c>
      <c r="C9" s="62">
        <f>IFERROR(VLOOKUP($A9,InvDump[#All],MATCH(C$3,InvDump[#Headers],0),FALSE),"-")</f>
        <v>45658</v>
      </c>
      <c r="D9" s="61" t="str">
        <f>IFERROR(VLOOKUP($A9,InvDump[#All],MATCH(D$3,InvDump[#Headers],0),FALSE),"-")</f>
        <v>Water</v>
      </c>
      <c r="E9" s="61" t="str">
        <f>IFERROR(VLOOKUP($A9,InvDump[#All],MATCH(E$3,InvDump[#Headers],0),FALSE),"-")</f>
        <v>Sir/Ma'am</v>
      </c>
      <c r="F9" s="61" t="str">
        <f>IFERROR(VLOOKUP($A9,InvDump[#All],MATCH(F$3,InvDump[#Headers],0),FALSE),"-")</f>
        <v>abc@gmail.com</v>
      </c>
      <c r="G9" s="61" t="str">
        <f>IFERROR(VLOOKUP($A9,InvDump[#All],MATCH(G$3,InvDump[#Headers],0),FALSE),"-")</f>
        <v>VNJKDKJKOWOODJH Ltd</v>
      </c>
      <c r="H9" s="63" t="str">
        <f>IFERROR(VLOOKUP(G9,CustomerData!$B$4:$D$13,3),"-")</f>
        <v>PULSES</v>
      </c>
      <c r="I9" s="61" t="str">
        <f>IFERROR(VLOOKUP($A9,InvDump[#All],MATCH(I$3,InvDump[#Headers],0),FALSE),"-")</f>
        <v>XXXXX</v>
      </c>
      <c r="J9" s="61" t="str">
        <f>IFERROR(VLOOKUP($A9,InvDump[#All],MATCH(J$3,InvDump[#Headers],0),FALSE),"-")</f>
        <v>fhkdslk@outlook.com</v>
      </c>
      <c r="K9" s="61" t="str">
        <f>IFERROR(VLOOKUP($A9,InvDump[#All],MATCH(K$3,InvDump[#Headers],0),FALSE),"-")</f>
        <v>abc@gmail.com</v>
      </c>
      <c r="L9" s="64">
        <f>IFERROR(VLOOKUP($A9,InvDump[#All],MATCH(L$3,InvDump[#Headers],0),FALSE),"-")</f>
        <v>800</v>
      </c>
      <c r="M9" s="64">
        <f>IFERROR(VLOOKUP($A9,InvDump[#All],MATCH(M$3,InvDump[#Headers],0),FALSE),"-")</f>
        <v>72</v>
      </c>
      <c r="N9" s="64">
        <f>IFERROR(VLOOKUP($A9,InvDump[#All],MATCH(N$3,InvDump[#Headers],0),FALSE),"-")</f>
        <v>72</v>
      </c>
      <c r="O9" s="64">
        <f>IFERROR(VLOOKUP($A9,InvDump[#All],MATCH(O$3,InvDump[#Headers],0),FALSE),"-")</f>
        <v>1044</v>
      </c>
      <c r="P9" s="65">
        <f>IFERROR(VLOOKUP($A9,InvDump[#All],MATCH(P$3,InvDump[#Headers],0),FALSE),"")</f>
        <v>20</v>
      </c>
      <c r="Q9" s="65">
        <f>IFERROR(VLOOKUP($A9,InvDump[#All],MATCH(Q$3,InvDump[#Headers],0),FALSE),"")</f>
        <v>80</v>
      </c>
      <c r="R9" s="65" t="str">
        <f>IFERROR(IF(VLOOKUP($A9,InvDump[#All],MATCH(R$3,InvDump[#Headers],0),FALSE)=0,"",VLOOKUP($A9,InvDump[#All],MATCH(R$3,InvDump[#Headers],0),FALSE)),"")</f>
        <v>PUNE</v>
      </c>
      <c r="S9" s="66" t="str">
        <f>IFERROR(IF(InvDump[[#This Row],[Annexure]]="Yes",VLOOKUP($A9,InvDump[#All],20,FALSE)&amp;"; "&amp;VLOOKUP($A9,InvDump[#All],22,FALSE),VLOOKUP($A9,InvDump[#All],20,FALSE)),"")</f>
        <v xml:space="preserve">; </v>
      </c>
    </row>
    <row r="10" spans="1:19" x14ac:dyDescent="0.3">
      <c r="A10" s="68" t="s">
        <v>127</v>
      </c>
      <c r="B10" s="61">
        <f>IFERROR(VLOOKUP($A10,InvDump[#All],MATCH(B$3,InvDump[#Headers],0),FALSE),"-")</f>
        <v>45689</v>
      </c>
      <c r="C10" s="62">
        <f>IFERROR(VLOOKUP($A10,InvDump[#All],MATCH(C$3,InvDump[#Headers],0),FALSE),"-")</f>
        <v>45658</v>
      </c>
      <c r="D10" s="61" t="str">
        <f>IFERROR(VLOOKUP($A10,InvDump[#All],MATCH(D$3,InvDump[#Headers],0),FALSE),"-")</f>
        <v>Water</v>
      </c>
      <c r="E10" s="61" t="str">
        <f>IFERROR(VLOOKUP($A10,InvDump[#All],MATCH(E$3,InvDump[#Headers],0),FALSE),"-")</f>
        <v>Sir/Ma'am</v>
      </c>
      <c r="F10" s="61" t="str">
        <f>IFERROR(VLOOKUP($A10,InvDump[#All],MATCH(F$3,InvDump[#Headers],0),FALSE),"-")</f>
        <v>abc@gmail.com</v>
      </c>
      <c r="G10" s="61" t="str">
        <f>IFERROR(VLOOKUP($A10,InvDump[#All],MATCH(G$3,InvDump[#Headers],0),FALSE),"-")</f>
        <v>DJNBNSLKLKWO Ltd</v>
      </c>
      <c r="H10" s="63" t="str">
        <f>IFERROR(VLOOKUP(G10,CustomerData!$B$4:$D$13,3),"-")</f>
        <v>TEA</v>
      </c>
      <c r="I10" s="61" t="str">
        <f>IFERROR(VLOOKUP($A10,InvDump[#All],MATCH(I$3,InvDump[#Headers],0),FALSE),"-")</f>
        <v>XXXXX</v>
      </c>
      <c r="J10" s="61" t="str">
        <f>IFERROR(VLOOKUP($A10,InvDump[#All],MATCH(J$3,InvDump[#Headers],0),FALSE),"-")</f>
        <v>fhkdslk@outlook.com</v>
      </c>
      <c r="K10" s="61" t="str">
        <f>IFERROR(VLOOKUP($A10,InvDump[#All],MATCH(K$3,InvDump[#Headers],0),FALSE),"-")</f>
        <v>abc@gmail.com</v>
      </c>
      <c r="L10" s="64">
        <f>IFERROR(VLOOKUP($A10,InvDump[#All],MATCH(L$3,InvDump[#Headers],0),FALSE),"-")</f>
        <v>867</v>
      </c>
      <c r="M10" s="64">
        <f>IFERROR(VLOOKUP($A10,InvDump[#All],MATCH(M$3,InvDump[#Headers],0),FALSE),"-")</f>
        <v>78.03</v>
      </c>
      <c r="N10" s="64">
        <f>IFERROR(VLOOKUP($A10,InvDump[#All],MATCH(N$3,InvDump[#Headers],0),FALSE),"-")</f>
        <v>78.03</v>
      </c>
      <c r="O10" s="64">
        <f>IFERROR(VLOOKUP($A10,InvDump[#All],MATCH(O$3,InvDump[#Headers],0),FALSE),"-")</f>
        <v>1128.06</v>
      </c>
      <c r="P10" s="65">
        <f>IFERROR(VLOOKUP($A10,InvDump[#All],MATCH(P$3,InvDump[#Headers],0),FALSE),"")</f>
        <v>25</v>
      </c>
      <c r="Q10" s="65">
        <f>IFERROR(VLOOKUP($A10,InvDump[#All],MATCH(Q$3,InvDump[#Headers],0),FALSE),"")</f>
        <v>80</v>
      </c>
      <c r="R10" s="65" t="str">
        <f>IFERROR(IF(VLOOKUP($A10,InvDump[#All],MATCH(R$3,InvDump[#Headers],0),FALSE)=0,"",VLOOKUP($A10,InvDump[#All],MATCH(R$3,InvDump[#Headers],0),FALSE)),"")</f>
        <v>MUMBAI</v>
      </c>
      <c r="S10" s="66" t="str">
        <f>IFERROR(IF(InvDump[[#This Row],[Annexure]]="Yes",VLOOKUP($A10,InvDump[#All],20,FALSE)&amp;"; "&amp;VLOOKUP($A10,InvDump[#All],22,FALSE),VLOOKUP($A10,InvDump[#All],20,FALSE)),"")</f>
        <v xml:space="preserve">; </v>
      </c>
    </row>
    <row r="11" spans="1:19" x14ac:dyDescent="0.3">
      <c r="A11" s="68" t="s">
        <v>128</v>
      </c>
      <c r="B11" s="61">
        <f>IFERROR(VLOOKUP($A11,InvDump[#All],MATCH(B$3,InvDump[#Headers],0),FALSE),"-")</f>
        <v>45689</v>
      </c>
      <c r="C11" s="62">
        <f>IFERROR(VLOOKUP($A11,InvDump[#All],MATCH(C$3,InvDump[#Headers],0),FALSE),"-")</f>
        <v>45658</v>
      </c>
      <c r="D11" s="61" t="str">
        <f>IFERROR(VLOOKUP($A11,InvDump[#All],MATCH(D$3,InvDump[#Headers],0),FALSE),"-")</f>
        <v>Rent</v>
      </c>
      <c r="E11" s="61" t="str">
        <f>IFERROR(VLOOKUP($A11,InvDump[#All],MATCH(E$3,InvDump[#Headers],0),FALSE),"-")</f>
        <v>Sir/Ma'am</v>
      </c>
      <c r="F11" s="61" t="str">
        <f>IFERROR(VLOOKUP($A11,InvDump[#All],MATCH(F$3,InvDump[#Headers],0),FALSE),"-")</f>
        <v>abc@gmail.com</v>
      </c>
      <c r="G11" s="61" t="str">
        <f>IFERROR(VLOOKUP($A11,InvDump[#All],MATCH(G$3,InvDump[#Headers],0),FALSE),"-")</f>
        <v>ALWOEODKCEDK Ltd</v>
      </c>
      <c r="H11" s="63" t="str">
        <f>IFERROR(VLOOKUP(G11,CustomerData!$B$4:$D$13,3),"-")</f>
        <v>TEA</v>
      </c>
      <c r="I11" s="61" t="str">
        <f>IFERROR(VLOOKUP($A11,InvDump[#All],MATCH(I$3,InvDump[#Headers],0),FALSE),"-")</f>
        <v>XXXXX</v>
      </c>
      <c r="J11" s="61" t="str">
        <f>IFERROR(VLOOKUP($A11,InvDump[#All],MATCH(J$3,InvDump[#Headers],0),FALSE),"-")</f>
        <v>fhkdslk@outlook.com</v>
      </c>
      <c r="K11" s="61" t="str">
        <f>IFERROR(VLOOKUP($A11,InvDump[#All],MATCH(K$3,InvDump[#Headers],0),FALSE),"-")</f>
        <v>abc@gmail.com</v>
      </c>
      <c r="L11" s="64">
        <f>IFERROR(VLOOKUP($A11,InvDump[#All],MATCH(L$3,InvDump[#Headers],0),FALSE),"-")</f>
        <v>120000</v>
      </c>
      <c r="M11" s="64">
        <f>IFERROR(VLOOKUP($A11,InvDump[#All],MATCH(M$3,InvDump[#Headers],0),FALSE),"-")</f>
        <v>10800</v>
      </c>
      <c r="N11" s="64">
        <f>IFERROR(VLOOKUP($A11,InvDump[#All],MATCH(N$3,InvDump[#Headers],0),FALSE),"-")</f>
        <v>10800</v>
      </c>
      <c r="O11" s="64">
        <f>IFERROR(VLOOKUP($A11,InvDump[#All],MATCH(O$3,InvDump[#Headers],0),FALSE),"-")</f>
        <v>141600</v>
      </c>
      <c r="P11" s="65">
        <f>IFERROR(VLOOKUP($A11,InvDump[#All],MATCH(P$3,InvDump[#Headers],0),FALSE),"")</f>
        <v>0</v>
      </c>
      <c r="Q11" s="65">
        <f>IFERROR(VLOOKUP($A11,InvDump[#All],MATCH(Q$3,InvDump[#Headers],0),FALSE),"")</f>
        <v>0</v>
      </c>
      <c r="R11" s="65" t="str">
        <f>IFERROR(IF(VLOOKUP($A11,InvDump[#All],MATCH(R$3,InvDump[#Headers],0),FALSE)=0,"",VLOOKUP($A11,InvDump[#All],MATCH(R$3,InvDump[#Headers],0),FALSE)),"")</f>
        <v>VIJAYAWADA</v>
      </c>
      <c r="S11" s="66" t="str">
        <f>IFERROR(IF(InvDump[[#This Row],[Annexure]]="Yes",VLOOKUP($A11,InvDump[#All],20,FALSE)&amp;"; "&amp;VLOOKUP($A11,InvDump[#All],22,FALSE),VLOOKUP($A11,InvDump[#All],20,FALSE)),"")</f>
        <v/>
      </c>
    </row>
    <row r="12" spans="1:19" x14ac:dyDescent="0.3">
      <c r="A12" s="68" t="s">
        <v>129</v>
      </c>
      <c r="B12" s="61">
        <f>IFERROR(VLOOKUP($A12,InvDump[#All],MATCH(B$3,InvDump[#Headers],0),FALSE),"-")</f>
        <v>45689</v>
      </c>
      <c r="C12" s="62">
        <f>IFERROR(VLOOKUP($A12,InvDump[#All],MATCH(C$3,InvDump[#Headers],0),FALSE),"-")</f>
        <v>45658</v>
      </c>
      <c r="D12" s="61" t="str">
        <f>IFERROR(VLOOKUP($A12,InvDump[#All],MATCH(D$3,InvDump[#Headers],0),FALSE),"-")</f>
        <v>Rent</v>
      </c>
      <c r="E12" s="61" t="str">
        <f>IFERROR(VLOOKUP($A12,InvDump[#All],MATCH(E$3,InvDump[#Headers],0),FALSE),"-")</f>
        <v>Sir/Ma'am</v>
      </c>
      <c r="F12" s="61" t="str">
        <f>IFERROR(VLOOKUP($A12,InvDump[#All],MATCH(F$3,InvDump[#Headers],0),FALSE),"-")</f>
        <v>abc@gmail.com</v>
      </c>
      <c r="G12" s="61" t="str">
        <f>IFERROR(VLOOKUP($A12,InvDump[#All],MATCH(G$3,InvDump[#Headers],0),FALSE),"-")</f>
        <v>XXXXLKDDDDDDD LTD</v>
      </c>
      <c r="H12" s="63" t="str">
        <f>IFERROR(VLOOKUP(G12,CustomerData!$B$4:$D$13,3),"-")</f>
        <v>SERVICES</v>
      </c>
      <c r="I12" s="61" t="str">
        <f>IFERROR(VLOOKUP($A12,InvDump[#All],MATCH(I$3,InvDump[#Headers],0),FALSE),"-")</f>
        <v>XXXXX</v>
      </c>
      <c r="J12" s="61" t="str">
        <f>IFERROR(VLOOKUP($A12,InvDump[#All],MATCH(J$3,InvDump[#Headers],0),FALSE),"-")</f>
        <v>fhkdslk@outlook.com</v>
      </c>
      <c r="K12" s="61" t="str">
        <f>IFERROR(VLOOKUP($A12,InvDump[#All],MATCH(K$3,InvDump[#Headers],0),FALSE),"-")</f>
        <v>abc@gmail.com</v>
      </c>
      <c r="L12" s="64">
        <f>IFERROR(VLOOKUP($A12,InvDump[#All],MATCH(L$3,InvDump[#Headers],0),FALSE),"-")</f>
        <v>89000</v>
      </c>
      <c r="M12" s="64">
        <f>IFERROR(VLOOKUP($A12,InvDump[#All],MATCH(M$3,InvDump[#Headers],0),FALSE),"-")</f>
        <v>8010</v>
      </c>
      <c r="N12" s="64">
        <f>IFERROR(VLOOKUP($A12,InvDump[#All],MATCH(N$3,InvDump[#Headers],0),FALSE),"-")</f>
        <v>8010</v>
      </c>
      <c r="O12" s="64">
        <f>IFERROR(VLOOKUP($A12,InvDump[#All],MATCH(O$3,InvDump[#Headers],0),FALSE),"-")</f>
        <v>105020</v>
      </c>
      <c r="P12" s="65">
        <f>IFERROR(VLOOKUP($A12,InvDump[#All],MATCH(P$3,InvDump[#Headers],0),FALSE),"")</f>
        <v>0</v>
      </c>
      <c r="Q12" s="65">
        <f>IFERROR(VLOOKUP($A12,InvDump[#All],MATCH(Q$3,InvDump[#Headers],0),FALSE),"")</f>
        <v>0</v>
      </c>
      <c r="R12" s="65" t="str">
        <f>IFERROR(IF(VLOOKUP($A12,InvDump[#All],MATCH(R$3,InvDump[#Headers],0),FALSE)=0,"",VLOOKUP($A12,InvDump[#All],MATCH(R$3,InvDump[#Headers],0),FALSE)),"")</f>
        <v>VIZAG</v>
      </c>
      <c r="S12" s="66" t="str">
        <f>IFERROR(IF(InvDump[[#This Row],[Annexure]]="Yes",VLOOKUP($A12,InvDump[#All],20,FALSE)&amp;"; "&amp;VLOOKUP($A12,InvDump[#All],22,FALSE),VLOOKUP($A12,InvDump[#All],20,FALSE)),"")</f>
        <v/>
      </c>
    </row>
    <row r="13" spans="1:19" x14ac:dyDescent="0.3">
      <c r="A13" s="68" t="s">
        <v>130</v>
      </c>
      <c r="B13" s="61">
        <f>IFERROR(VLOOKUP($A13,InvDump[#All],MATCH(B$3,InvDump[#Headers],0),FALSE),"-")</f>
        <v>45689</v>
      </c>
      <c r="C13" s="62">
        <f>IFERROR(VLOOKUP($A13,InvDump[#All],MATCH(C$3,InvDump[#Headers],0),FALSE),"-")</f>
        <v>45658</v>
      </c>
      <c r="D13" s="61" t="str">
        <f>IFERROR(VLOOKUP($A13,InvDump[#All],MATCH(D$3,InvDump[#Headers],0),FALSE),"-")</f>
        <v>Rent</v>
      </c>
      <c r="E13" s="61" t="str">
        <f>IFERROR(VLOOKUP($A13,InvDump[#All],MATCH(E$3,InvDump[#Headers],0),FALSE),"-")</f>
        <v>Sir/Ma'am</v>
      </c>
      <c r="F13" s="61" t="str">
        <f>IFERROR(VLOOKUP($A13,InvDump[#All],MATCH(F$3,InvDump[#Headers],0),FALSE),"-")</f>
        <v>abc@gmail.com</v>
      </c>
      <c r="G13" s="61" t="str">
        <f>IFERROR(VLOOKUP($A13,InvDump[#All],MATCH(G$3,InvDump[#Headers],0),FALSE),"-")</f>
        <v>QWIKDQPLKDN LTD</v>
      </c>
      <c r="H13" s="63" t="str">
        <f>IFERROR(VLOOKUP(G13,CustomerData!$B$4:$D$13,3),"-")</f>
        <v>PULSES</v>
      </c>
      <c r="I13" s="61" t="str">
        <f>IFERROR(VLOOKUP($A13,InvDump[#All],MATCH(I$3,InvDump[#Headers],0),FALSE),"-")</f>
        <v>XXXXX</v>
      </c>
      <c r="J13" s="61" t="str">
        <f>IFERROR(VLOOKUP($A13,InvDump[#All],MATCH(J$3,InvDump[#Headers],0),FALSE),"-")</f>
        <v>fhkdslk@outlook.com</v>
      </c>
      <c r="K13" s="61" t="str">
        <f>IFERROR(VLOOKUP($A13,InvDump[#All],MATCH(K$3,InvDump[#Headers],0),FALSE),"-")</f>
        <v>abc@gmail.com</v>
      </c>
      <c r="L13" s="64">
        <f>IFERROR(VLOOKUP($A13,InvDump[#All],MATCH(L$3,InvDump[#Headers],0),FALSE),"-")</f>
        <v>70000</v>
      </c>
      <c r="M13" s="64">
        <f>IFERROR(VLOOKUP($A13,InvDump[#All],MATCH(M$3,InvDump[#Headers],0),FALSE),"-")</f>
        <v>6300</v>
      </c>
      <c r="N13" s="64">
        <f>IFERROR(VLOOKUP($A13,InvDump[#All],MATCH(N$3,InvDump[#Headers],0),FALSE),"-")</f>
        <v>6300</v>
      </c>
      <c r="O13" s="64">
        <f>IFERROR(VLOOKUP($A13,InvDump[#All],MATCH(O$3,InvDump[#Headers],0),FALSE),"-")</f>
        <v>82600</v>
      </c>
      <c r="P13" s="65">
        <f>IFERROR(VLOOKUP($A13,InvDump[#All],MATCH(P$3,InvDump[#Headers],0),FALSE),"")</f>
        <v>0</v>
      </c>
      <c r="Q13" s="65">
        <f>IFERROR(VLOOKUP($A13,InvDump[#All],MATCH(Q$3,InvDump[#Headers],0),FALSE),"")</f>
        <v>0</v>
      </c>
      <c r="R13" s="65" t="str">
        <f>IFERROR(IF(VLOOKUP($A13,InvDump[#All],MATCH(R$3,InvDump[#Headers],0),FALSE)=0,"",VLOOKUP($A13,InvDump[#All],MATCH(R$3,InvDump[#Headers],0),FALSE)),"")</f>
        <v>KOLKATA</v>
      </c>
      <c r="S13" s="66" t="str">
        <f>IFERROR(IF(InvDump[[#This Row],[Annexure]]="Yes",VLOOKUP($A13,InvDump[#All],20,FALSE)&amp;"; "&amp;VLOOKUP($A13,InvDump[#All],22,FALSE),VLOOKUP($A13,InvDump[#All],20,FALSE)),"")</f>
        <v/>
      </c>
    </row>
    <row r="14" spans="1:19" x14ac:dyDescent="0.3">
      <c r="A14" s="68"/>
      <c r="B14" s="61" t="str">
        <f>IFERROR(VLOOKUP($A14,InvDump[#All],MATCH(B$3,InvDump[#Headers],0),FALSE),"-")</f>
        <v>-</v>
      </c>
      <c r="C14" s="62" t="str">
        <f>IFERROR(VLOOKUP($A14,InvDump[#All],MATCH(C$3,InvDump[#Headers],0),FALSE),"-")</f>
        <v>-</v>
      </c>
      <c r="D14" s="61" t="str">
        <f>IFERROR(VLOOKUP($A14,InvDump[#All],MATCH(D$3,InvDump[#Headers],0),FALSE),"-")</f>
        <v>-</v>
      </c>
      <c r="E14" s="61" t="str">
        <f>IFERROR(VLOOKUP($A14,InvDump[#All],MATCH(E$3,InvDump[#Headers],0),FALSE),"-")</f>
        <v>-</v>
      </c>
      <c r="F14" s="61" t="str">
        <f>IFERROR(VLOOKUP($A14,InvDump[#All],MATCH(F$3,InvDump[#Headers],0),FALSE),"-")</f>
        <v>-</v>
      </c>
      <c r="G14" s="61" t="str">
        <f>IFERROR(VLOOKUP($A14,InvDump[#All],MATCH(G$3,InvDump[#Headers],0),FALSE),"-")</f>
        <v>-</v>
      </c>
      <c r="H14" s="63" t="str">
        <f>IFERROR(VLOOKUP(G14,CustomerData!$B$4:$D$13,3),"-")</f>
        <v>-</v>
      </c>
      <c r="I14" s="61" t="str">
        <f>IFERROR(VLOOKUP($A14,InvDump[#All],MATCH(I$3,InvDump[#Headers],0),FALSE),"-")</f>
        <v>-</v>
      </c>
      <c r="J14" s="61" t="str">
        <f>IFERROR(VLOOKUP($A14,InvDump[#All],MATCH(J$3,InvDump[#Headers],0),FALSE),"-")</f>
        <v>-</v>
      </c>
      <c r="K14" s="61" t="str">
        <f>IFERROR(VLOOKUP($A14,InvDump[#All],MATCH(K$3,InvDump[#Headers],0),FALSE),"-")</f>
        <v>-</v>
      </c>
      <c r="L14" s="64" t="str">
        <f>IFERROR(VLOOKUP($A14,InvDump[#All],MATCH(L$3,InvDump[#Headers],0),FALSE),"-")</f>
        <v>-</v>
      </c>
      <c r="M14" s="64" t="str">
        <f>IFERROR(VLOOKUP($A14,InvDump[#All],MATCH(M$3,InvDump[#Headers],0),FALSE),"-")</f>
        <v>-</v>
      </c>
      <c r="N14" s="64" t="str">
        <f>IFERROR(VLOOKUP($A14,InvDump[#All],MATCH(N$3,InvDump[#Headers],0),FALSE),"-")</f>
        <v>-</v>
      </c>
      <c r="O14" s="64" t="str">
        <f>IFERROR(VLOOKUP($A14,InvDump[#All],MATCH(O$3,InvDump[#Headers],0),FALSE),"-")</f>
        <v>-</v>
      </c>
      <c r="P14" s="65" t="str">
        <f>IFERROR(VLOOKUP($A14,InvDump[#All],MATCH(P$3,InvDump[#Headers],0),FALSE),"")</f>
        <v/>
      </c>
      <c r="Q14" s="65" t="str">
        <f>IFERROR(VLOOKUP($A14,InvDump[#All],MATCH(Q$3,InvDump[#Headers],0),FALSE),"")</f>
        <v/>
      </c>
      <c r="R14" s="65" t="str">
        <f>IFERROR(IF(VLOOKUP($A14,InvDump[#All],MATCH(R$3,InvDump[#Headers],0),FALSE)=0,"",VLOOKUP($A14,InvDump[#All],MATCH(R$3,InvDump[#Headers],0),FALSE)),"")</f>
        <v/>
      </c>
      <c r="S14" s="66" t="str">
        <f>IFERROR(IF(InvDump[[#This Row],[Annexure]]="Yes",VLOOKUP($A14,InvDump[#All],20,FALSE)&amp;"; "&amp;VLOOKUP($A14,InvDump[#All],22,FALSE),VLOOKUP($A14,InvDump[#All],20,FALSE)),"")</f>
        <v/>
      </c>
    </row>
    <row r="15" spans="1:19" x14ac:dyDescent="0.3">
      <c r="A15" s="68"/>
      <c r="B15" s="61" t="str">
        <f>IFERROR(VLOOKUP($A15,InvDump[#All],MATCH(B$3,InvDump[#Headers],0),FALSE),"-")</f>
        <v>-</v>
      </c>
      <c r="C15" s="62" t="str">
        <f>IFERROR(VLOOKUP($A15,InvDump[#All],MATCH(C$3,InvDump[#Headers],0),FALSE),"-")</f>
        <v>-</v>
      </c>
      <c r="D15" s="61" t="str">
        <f>IFERROR(VLOOKUP($A15,InvDump[#All],MATCH(D$3,InvDump[#Headers],0),FALSE),"-")</f>
        <v>-</v>
      </c>
      <c r="E15" s="61" t="str">
        <f>IFERROR(VLOOKUP($A15,InvDump[#All],MATCH(E$3,InvDump[#Headers],0),FALSE),"-")</f>
        <v>-</v>
      </c>
      <c r="F15" s="61" t="str">
        <f>IFERROR(VLOOKUP($A15,InvDump[#All],MATCH(F$3,InvDump[#Headers],0),FALSE),"-")</f>
        <v>-</v>
      </c>
      <c r="G15" s="61" t="str">
        <f>IFERROR(VLOOKUP($A15,InvDump[#All],MATCH(G$3,InvDump[#Headers],0),FALSE),"-")</f>
        <v>-</v>
      </c>
      <c r="H15" s="63" t="str">
        <f>IFERROR(VLOOKUP(G15,CustomerData!$B$4:$D$13,3),"-")</f>
        <v>-</v>
      </c>
      <c r="I15" s="61" t="str">
        <f>IFERROR(VLOOKUP($A15,InvDump[#All],MATCH(I$3,InvDump[#Headers],0),FALSE),"-")</f>
        <v>-</v>
      </c>
      <c r="J15" s="61" t="str">
        <f>IFERROR(VLOOKUP($A15,InvDump[#All],MATCH(J$3,InvDump[#Headers],0),FALSE),"-")</f>
        <v>-</v>
      </c>
      <c r="K15" s="61" t="str">
        <f>IFERROR(VLOOKUP($A15,InvDump[#All],MATCH(K$3,InvDump[#Headers],0),FALSE),"-")</f>
        <v>-</v>
      </c>
      <c r="L15" s="64" t="str">
        <f>IFERROR(VLOOKUP($A15,InvDump[#All],MATCH(L$3,InvDump[#Headers],0),FALSE),"-")</f>
        <v>-</v>
      </c>
      <c r="M15" s="64" t="str">
        <f>IFERROR(VLOOKUP($A15,InvDump[#All],MATCH(M$3,InvDump[#Headers],0),FALSE),"-")</f>
        <v>-</v>
      </c>
      <c r="N15" s="64" t="str">
        <f>IFERROR(VLOOKUP($A15,InvDump[#All],MATCH(N$3,InvDump[#Headers],0),FALSE),"-")</f>
        <v>-</v>
      </c>
      <c r="O15" s="64" t="str">
        <f>IFERROR(VLOOKUP($A15,InvDump[#All],MATCH(O$3,InvDump[#Headers],0),FALSE),"-")</f>
        <v>-</v>
      </c>
      <c r="P15" s="65" t="str">
        <f>IFERROR(VLOOKUP($A15,InvDump[#All],MATCH(P$3,InvDump[#Headers],0),FALSE),"")</f>
        <v/>
      </c>
      <c r="Q15" s="65" t="str">
        <f>IFERROR(VLOOKUP($A15,InvDump[#All],MATCH(Q$3,InvDump[#Headers],0),FALSE),"")</f>
        <v/>
      </c>
      <c r="R15" s="65" t="str">
        <f>IFERROR(IF(VLOOKUP($A15,InvDump[#All],MATCH(R$3,InvDump[#Headers],0),FALSE)=0,"",VLOOKUP($A15,InvDump[#All],MATCH(R$3,InvDump[#Headers],0),FALSE)),"")</f>
        <v/>
      </c>
      <c r="S15" s="66" t="str">
        <f>IFERROR(IF(InvDump[[#This Row],[Annexure]]="Yes",VLOOKUP($A15,InvDump[#All],20,FALSE)&amp;"; "&amp;VLOOKUP($A15,InvDump[#All],22,FALSE),VLOOKUP($A15,InvDump[#All],20,FALSE)),"")</f>
        <v/>
      </c>
    </row>
    <row r="16" spans="1:19" x14ac:dyDescent="0.3">
      <c r="A16" s="68"/>
      <c r="B16" s="61" t="str">
        <f>IFERROR(VLOOKUP($A16,InvDump[#All],MATCH(B$3,InvDump[#Headers],0),FALSE),"-")</f>
        <v>-</v>
      </c>
      <c r="C16" s="62" t="str">
        <f>IFERROR(VLOOKUP($A16,InvDump[#All],MATCH(C$3,InvDump[#Headers],0),FALSE),"-")</f>
        <v>-</v>
      </c>
      <c r="D16" s="61" t="str">
        <f>IFERROR(VLOOKUP($A16,InvDump[#All],MATCH(D$3,InvDump[#Headers],0),FALSE),"-")</f>
        <v>-</v>
      </c>
      <c r="E16" s="61" t="str">
        <f>IFERROR(VLOOKUP($A16,InvDump[#All],MATCH(E$3,InvDump[#Headers],0),FALSE),"-")</f>
        <v>-</v>
      </c>
      <c r="F16" s="61" t="str">
        <f>IFERROR(VLOOKUP($A16,InvDump[#All],MATCH(F$3,InvDump[#Headers],0),FALSE),"-")</f>
        <v>-</v>
      </c>
      <c r="G16" s="61" t="str">
        <f>IFERROR(VLOOKUP($A16,InvDump[#All],MATCH(G$3,InvDump[#Headers],0),FALSE),"-")</f>
        <v>-</v>
      </c>
      <c r="H16" s="63" t="str">
        <f>IFERROR(VLOOKUP(G16,CustomerData!$B$4:$D$13,3),"-")</f>
        <v>-</v>
      </c>
      <c r="I16" s="61" t="str">
        <f>IFERROR(VLOOKUP($A16,InvDump[#All],MATCH(I$3,InvDump[#Headers],0),FALSE),"-")</f>
        <v>-</v>
      </c>
      <c r="J16" s="61" t="str">
        <f>IFERROR(VLOOKUP($A16,InvDump[#All],MATCH(J$3,InvDump[#Headers],0),FALSE),"-")</f>
        <v>-</v>
      </c>
      <c r="K16" s="61" t="str">
        <f>IFERROR(VLOOKUP($A16,InvDump[#All],MATCH(K$3,InvDump[#Headers],0),FALSE),"-")</f>
        <v>-</v>
      </c>
      <c r="L16" s="64" t="str">
        <f>IFERROR(VLOOKUP($A16,InvDump[#All],MATCH(L$3,InvDump[#Headers],0),FALSE),"-")</f>
        <v>-</v>
      </c>
      <c r="M16" s="64" t="str">
        <f>IFERROR(VLOOKUP($A16,InvDump[#All],MATCH(M$3,InvDump[#Headers],0),FALSE),"-")</f>
        <v>-</v>
      </c>
      <c r="N16" s="64" t="str">
        <f>IFERROR(VLOOKUP($A16,InvDump[#All],MATCH(N$3,InvDump[#Headers],0),FALSE),"-")</f>
        <v>-</v>
      </c>
      <c r="O16" s="64" t="str">
        <f>IFERROR(VLOOKUP($A16,InvDump[#All],MATCH(O$3,InvDump[#Headers],0),FALSE),"-")</f>
        <v>-</v>
      </c>
      <c r="P16" s="65" t="str">
        <f>IFERROR(VLOOKUP($A16,InvDump[#All],MATCH(P$3,InvDump[#Headers],0),FALSE),"")</f>
        <v/>
      </c>
      <c r="Q16" s="65" t="str">
        <f>IFERROR(VLOOKUP($A16,InvDump[#All],MATCH(Q$3,InvDump[#Headers],0),FALSE),"")</f>
        <v/>
      </c>
      <c r="R16" s="65" t="str">
        <f>IFERROR(IF(VLOOKUP($A16,InvDump[#All],MATCH(R$3,InvDump[#Headers],0),FALSE)=0,"",VLOOKUP($A16,InvDump[#All],MATCH(R$3,InvDump[#Headers],0),FALSE)),"")</f>
        <v/>
      </c>
      <c r="S16" s="66" t="str">
        <f>IFERROR(IF(InvDump[[#This Row],[Annexure]]="Yes",VLOOKUP($A16,InvDump[#All],20,FALSE)&amp;"; "&amp;VLOOKUP($A16,InvDump[#All],22,FALSE),VLOOKUP($A16,InvDump[#All],20,FALSE)),"")</f>
        <v/>
      </c>
    </row>
    <row r="17" spans="1:19" x14ac:dyDescent="0.3">
      <c r="A17" s="68"/>
      <c r="B17" s="61" t="str">
        <f>IFERROR(VLOOKUP($A17,InvDump[#All],MATCH(B$3,InvDump[#Headers],0),FALSE),"-")</f>
        <v>-</v>
      </c>
      <c r="C17" s="62" t="str">
        <f>IFERROR(VLOOKUP($A17,InvDump[#All],MATCH(C$3,InvDump[#Headers],0),FALSE),"-")</f>
        <v>-</v>
      </c>
      <c r="D17" s="61" t="str">
        <f>IFERROR(VLOOKUP($A17,InvDump[#All],MATCH(D$3,InvDump[#Headers],0),FALSE),"-")</f>
        <v>-</v>
      </c>
      <c r="E17" s="61" t="str">
        <f>IFERROR(VLOOKUP($A17,InvDump[#All],MATCH(E$3,InvDump[#Headers],0),FALSE),"-")</f>
        <v>-</v>
      </c>
      <c r="F17" s="61" t="str">
        <f>IFERROR(VLOOKUP($A17,InvDump[#All],MATCH(F$3,InvDump[#Headers],0),FALSE),"-")</f>
        <v>-</v>
      </c>
      <c r="G17" s="61" t="str">
        <f>IFERROR(VLOOKUP($A17,InvDump[#All],MATCH(G$3,InvDump[#Headers],0),FALSE),"-")</f>
        <v>-</v>
      </c>
      <c r="H17" s="63" t="str">
        <f>IFERROR(VLOOKUP(G17,CustomerData!$B$4:$D$13,3),"-")</f>
        <v>-</v>
      </c>
      <c r="I17" s="61" t="str">
        <f>IFERROR(VLOOKUP($A17,InvDump[#All],MATCH(I$3,InvDump[#Headers],0),FALSE),"-")</f>
        <v>-</v>
      </c>
      <c r="J17" s="61" t="str">
        <f>IFERROR(VLOOKUP($A17,InvDump[#All],MATCH(J$3,InvDump[#Headers],0),FALSE),"-")</f>
        <v>-</v>
      </c>
      <c r="K17" s="61" t="str">
        <f>IFERROR(VLOOKUP($A17,InvDump[#All],MATCH(K$3,InvDump[#Headers],0),FALSE),"-")</f>
        <v>-</v>
      </c>
      <c r="L17" s="64" t="str">
        <f>IFERROR(VLOOKUP($A17,InvDump[#All],MATCH(L$3,InvDump[#Headers],0),FALSE),"-")</f>
        <v>-</v>
      </c>
      <c r="M17" s="64" t="str">
        <f>IFERROR(VLOOKUP($A17,InvDump[#All],MATCH(M$3,InvDump[#Headers],0),FALSE),"-")</f>
        <v>-</v>
      </c>
      <c r="N17" s="64" t="str">
        <f>IFERROR(VLOOKUP($A17,InvDump[#All],MATCH(N$3,InvDump[#Headers],0),FALSE),"-")</f>
        <v>-</v>
      </c>
      <c r="O17" s="64" t="str">
        <f>IFERROR(VLOOKUP($A17,InvDump[#All],MATCH(O$3,InvDump[#Headers],0),FALSE),"-")</f>
        <v>-</v>
      </c>
      <c r="P17" s="65" t="str">
        <f>IFERROR(VLOOKUP($A17,InvDump[#All],MATCH(P$3,InvDump[#Headers],0),FALSE),"")</f>
        <v/>
      </c>
      <c r="Q17" s="65" t="str">
        <f>IFERROR(VLOOKUP($A17,InvDump[#All],MATCH(Q$3,InvDump[#Headers],0),FALSE),"")</f>
        <v/>
      </c>
      <c r="R17" s="65" t="str">
        <f>IFERROR(IF(VLOOKUP($A17,InvDump[#All],MATCH(R$3,InvDump[#Headers],0),FALSE)=0,"",VLOOKUP($A17,InvDump[#All],MATCH(R$3,InvDump[#Headers],0),FALSE)),"")</f>
        <v/>
      </c>
      <c r="S17" s="66" t="str">
        <f>IFERROR(IF(InvDump[[#This Row],[Annexure]]="Yes",VLOOKUP($A17,InvDump[#All],20,FALSE)&amp;"; "&amp;VLOOKUP($A17,InvDump[#All],22,FALSE),VLOOKUP($A17,InvDump[#All],20,FALSE)),"")</f>
        <v/>
      </c>
    </row>
    <row r="18" spans="1:19" x14ac:dyDescent="0.3">
      <c r="A18" s="68"/>
      <c r="B18" s="61" t="str">
        <f>IFERROR(VLOOKUP($A18,InvDump[#All],MATCH(B$3,InvDump[#Headers],0),FALSE),"-")</f>
        <v>-</v>
      </c>
      <c r="C18" s="62" t="str">
        <f>IFERROR(VLOOKUP($A18,InvDump[#All],MATCH(C$3,InvDump[#Headers],0),FALSE),"-")</f>
        <v>-</v>
      </c>
      <c r="D18" s="61" t="str">
        <f>IFERROR(VLOOKUP($A18,InvDump[#All],MATCH(D$3,InvDump[#Headers],0),FALSE),"-")</f>
        <v>-</v>
      </c>
      <c r="E18" s="61" t="str">
        <f>IFERROR(VLOOKUP($A18,InvDump[#All],MATCH(E$3,InvDump[#Headers],0),FALSE),"-")</f>
        <v>-</v>
      </c>
      <c r="F18" s="61" t="str">
        <f>IFERROR(VLOOKUP($A18,InvDump[#All],MATCH(F$3,InvDump[#Headers],0),FALSE),"-")</f>
        <v>-</v>
      </c>
      <c r="G18" s="61" t="str">
        <f>IFERROR(VLOOKUP($A18,InvDump[#All],MATCH(G$3,InvDump[#Headers],0),FALSE),"-")</f>
        <v>-</v>
      </c>
      <c r="H18" s="63" t="str">
        <f>IFERROR(VLOOKUP(G18,CustomerData!$B$4:$D$13,3),"-")</f>
        <v>-</v>
      </c>
      <c r="I18" s="61" t="str">
        <f>IFERROR(VLOOKUP($A18,InvDump[#All],MATCH(I$3,InvDump[#Headers],0),FALSE),"-")</f>
        <v>-</v>
      </c>
      <c r="J18" s="61" t="str">
        <f>IFERROR(VLOOKUP($A18,InvDump[#All],MATCH(J$3,InvDump[#Headers],0),FALSE),"-")</f>
        <v>-</v>
      </c>
      <c r="K18" s="61" t="str">
        <f>IFERROR(VLOOKUP($A18,InvDump[#All],MATCH(K$3,InvDump[#Headers],0),FALSE),"-")</f>
        <v>-</v>
      </c>
      <c r="L18" s="64" t="str">
        <f>IFERROR(VLOOKUP($A18,InvDump[#All],MATCH(L$3,InvDump[#Headers],0),FALSE),"-")</f>
        <v>-</v>
      </c>
      <c r="M18" s="64" t="str">
        <f>IFERROR(VLOOKUP($A18,InvDump[#All],MATCH(M$3,InvDump[#Headers],0),FALSE),"-")</f>
        <v>-</v>
      </c>
      <c r="N18" s="64" t="str">
        <f>IFERROR(VLOOKUP($A18,InvDump[#All],MATCH(N$3,InvDump[#Headers],0),FALSE),"-")</f>
        <v>-</v>
      </c>
      <c r="O18" s="64" t="str">
        <f>IFERROR(VLOOKUP($A18,InvDump[#All],MATCH(O$3,InvDump[#Headers],0),FALSE),"-")</f>
        <v>-</v>
      </c>
      <c r="P18" s="67" t="str">
        <f>IFERROR(VLOOKUP($A18,InvDump[#All],MATCH(P$3,InvDump[#Headers],0),FALSE),"")</f>
        <v/>
      </c>
      <c r="Q18" s="65" t="str">
        <f>IFERROR(VLOOKUP($A18,InvDump[#All],MATCH(Q$3,InvDump[#Headers],0),FALSE),"")</f>
        <v/>
      </c>
      <c r="R18" s="65" t="str">
        <f>IFERROR(IF(VLOOKUP($A18,InvDump[#All],MATCH(R$3,InvDump[#Headers],0),FALSE)=0,"",VLOOKUP($A18,InvDump[#All],MATCH(R$3,InvDump[#Headers],0),FALSE)),"")</f>
        <v/>
      </c>
      <c r="S18" s="66" t="str">
        <f>IFERROR(IF(InvDump[[#This Row],[Annexure]]="Yes",VLOOKUP($A18,InvDump[#All],20,FALSE)&amp;"; "&amp;VLOOKUP($A18,InvDump[#All],22,FALSE),VLOOKUP($A18,InvDump[#All],20,FALSE)),"")</f>
        <v/>
      </c>
    </row>
    <row r="19" spans="1:19" x14ac:dyDescent="0.3">
      <c r="A19" s="68"/>
      <c r="B19" s="61" t="str">
        <f>IFERROR(VLOOKUP($A19,InvDump[#All],MATCH(B$3,InvDump[#Headers],0),FALSE),"-")</f>
        <v>-</v>
      </c>
      <c r="C19" s="62" t="str">
        <f>IFERROR(VLOOKUP($A19,InvDump[#All],MATCH(C$3,InvDump[#Headers],0),FALSE),"-")</f>
        <v>-</v>
      </c>
      <c r="D19" s="61" t="str">
        <f>IFERROR(VLOOKUP($A19,InvDump[#All],MATCH(D$3,InvDump[#Headers],0),FALSE),"-")</f>
        <v>-</v>
      </c>
      <c r="E19" s="61" t="str">
        <f>IFERROR(VLOOKUP($A19,InvDump[#All],MATCH(E$3,InvDump[#Headers],0),FALSE),"-")</f>
        <v>-</v>
      </c>
      <c r="F19" s="61" t="str">
        <f>IFERROR(VLOOKUP($A19,InvDump[#All],MATCH(F$3,InvDump[#Headers],0),FALSE),"-")</f>
        <v>-</v>
      </c>
      <c r="G19" s="61" t="str">
        <f>IFERROR(VLOOKUP($A19,InvDump[#All],MATCH(G$3,InvDump[#Headers],0),FALSE),"-")</f>
        <v>-</v>
      </c>
      <c r="H19" s="63" t="str">
        <f>IFERROR(VLOOKUP(G19,CustomerData!$B$4:$D$13,3),"-")</f>
        <v>-</v>
      </c>
      <c r="I19" s="61" t="str">
        <f>IFERROR(VLOOKUP($A19,InvDump[#All],MATCH(I$3,InvDump[#Headers],0),FALSE),"-")</f>
        <v>-</v>
      </c>
      <c r="J19" s="61" t="str">
        <f>IFERROR(VLOOKUP($A19,InvDump[#All],MATCH(J$3,InvDump[#Headers],0),FALSE),"-")</f>
        <v>-</v>
      </c>
      <c r="K19" s="61" t="str">
        <f>IFERROR(VLOOKUP($A19,InvDump[#All],MATCH(K$3,InvDump[#Headers],0),FALSE),"-")</f>
        <v>-</v>
      </c>
      <c r="L19" s="64" t="str">
        <f>IFERROR(VLOOKUP($A19,InvDump[#All],MATCH(L$3,InvDump[#Headers],0),FALSE),"-")</f>
        <v>-</v>
      </c>
      <c r="M19" s="64" t="str">
        <f>IFERROR(VLOOKUP($A19,InvDump[#All],MATCH(M$3,InvDump[#Headers],0),FALSE),"-")</f>
        <v>-</v>
      </c>
      <c r="N19" s="64" t="str">
        <f>IFERROR(VLOOKUP($A19,InvDump[#All],MATCH(N$3,InvDump[#Headers],0),FALSE),"-")</f>
        <v>-</v>
      </c>
      <c r="O19" s="64" t="str">
        <f>IFERROR(VLOOKUP($A19,InvDump[#All],MATCH(O$3,InvDump[#Headers],0),FALSE),"-")</f>
        <v>-</v>
      </c>
      <c r="P19" s="67" t="str">
        <f>IFERROR(VLOOKUP($A19,InvDump[#All],MATCH(P$3,InvDump[#Headers],0),FALSE),"")</f>
        <v/>
      </c>
      <c r="Q19" s="65" t="str">
        <f>IFERROR(VLOOKUP($A19,InvDump[#All],MATCH(Q$3,InvDump[#Headers],0),FALSE),"")</f>
        <v/>
      </c>
      <c r="R19" s="65" t="str">
        <f>IFERROR(IF(VLOOKUP($A19,InvDump[#All],MATCH(R$3,InvDump[#Headers],0),FALSE)=0,"",VLOOKUP($A19,InvDump[#All],MATCH(R$3,InvDump[#Headers],0),FALSE)),"")</f>
        <v/>
      </c>
      <c r="S19" s="66" t="str">
        <f>IFERROR(IF(InvDump[[#This Row],[Annexure]]="Yes",VLOOKUP($A19,InvDump[#All],20,FALSE)&amp;"; "&amp;VLOOKUP($A19,InvDump[#All],22,FALSE),VLOOKUP($A19,InvDump[#All],20,FALSE)),"")</f>
        <v/>
      </c>
    </row>
    <row r="20" spans="1:19" x14ac:dyDescent="0.3">
      <c r="A20" s="68"/>
      <c r="B20" s="61" t="str">
        <f>IFERROR(VLOOKUP($A20,InvDump[#All],MATCH(B$3,InvDump[#Headers],0),FALSE),"-")</f>
        <v>-</v>
      </c>
      <c r="C20" s="62" t="str">
        <f>IFERROR(VLOOKUP($A20,InvDump[#All],MATCH(C$3,InvDump[#Headers],0),FALSE),"-")</f>
        <v>-</v>
      </c>
      <c r="D20" s="61" t="str">
        <f>IFERROR(VLOOKUP($A20,InvDump[#All],MATCH(D$3,InvDump[#Headers],0),FALSE),"-")</f>
        <v>-</v>
      </c>
      <c r="E20" s="61" t="str">
        <f>IFERROR(VLOOKUP($A20,InvDump[#All],MATCH(E$3,InvDump[#Headers],0),FALSE),"-")</f>
        <v>-</v>
      </c>
      <c r="F20" s="61" t="str">
        <f>IFERROR(VLOOKUP($A20,InvDump[#All],MATCH(F$3,InvDump[#Headers],0),FALSE),"-")</f>
        <v>-</v>
      </c>
      <c r="G20" s="61" t="str">
        <f>IFERROR(VLOOKUP($A20,InvDump[#All],MATCH(G$3,InvDump[#Headers],0),FALSE),"-")</f>
        <v>-</v>
      </c>
      <c r="H20" s="63" t="str">
        <f>IFERROR(VLOOKUP(G20,CustomerData!$B$4:$D$13,3),"-")</f>
        <v>-</v>
      </c>
      <c r="I20" s="61" t="str">
        <f>IFERROR(VLOOKUP($A20,InvDump[#All],MATCH(I$3,InvDump[#Headers],0),FALSE),"-")</f>
        <v>-</v>
      </c>
      <c r="J20" s="61" t="str">
        <f>IFERROR(VLOOKUP($A20,InvDump[#All],MATCH(J$3,InvDump[#Headers],0),FALSE),"-")</f>
        <v>-</v>
      </c>
      <c r="K20" s="61" t="str">
        <f>IFERROR(VLOOKUP($A20,InvDump[#All],MATCH(K$3,InvDump[#Headers],0),FALSE),"-")</f>
        <v>-</v>
      </c>
      <c r="L20" s="64" t="str">
        <f>IFERROR(VLOOKUP($A20,InvDump[#All],MATCH(L$3,InvDump[#Headers],0),FALSE),"-")</f>
        <v>-</v>
      </c>
      <c r="M20" s="64" t="str">
        <f>IFERROR(VLOOKUP($A20,InvDump[#All],MATCH(M$3,InvDump[#Headers],0),FALSE),"-")</f>
        <v>-</v>
      </c>
      <c r="N20" s="64" t="str">
        <f>IFERROR(VLOOKUP($A20,InvDump[#All],MATCH(N$3,InvDump[#Headers],0),FALSE),"-")</f>
        <v>-</v>
      </c>
      <c r="O20" s="64" t="str">
        <f>IFERROR(VLOOKUP($A20,InvDump[#All],MATCH(O$3,InvDump[#Headers],0),FALSE),"-")</f>
        <v>-</v>
      </c>
      <c r="P20" s="67" t="str">
        <f>IFERROR(VLOOKUP($A20,InvDump[#All],MATCH(P$3,InvDump[#Headers],0),FALSE),"")</f>
        <v/>
      </c>
      <c r="Q20" s="65" t="str">
        <f>IFERROR(VLOOKUP($A20,InvDump[#All],MATCH(Q$3,InvDump[#Headers],0),FALSE),"")</f>
        <v/>
      </c>
      <c r="R20" s="65" t="str">
        <f>IFERROR(IF(VLOOKUP($A20,InvDump[#All],MATCH(R$3,InvDump[#Headers],0),FALSE)=0,"",VLOOKUP($A20,InvDump[#All],MATCH(R$3,InvDump[#Headers],0),FALSE)),"")</f>
        <v/>
      </c>
      <c r="S20" s="66" t="str">
        <f>IFERROR(IF(InvDump[[#This Row],[Annexure]]="Yes",VLOOKUP($A20,InvDump[#All],20,FALSE)&amp;"; "&amp;VLOOKUP($A20,InvDump[#All],22,FALSE),VLOOKUP($A20,InvDump[#All],20,FALSE)),"")</f>
        <v/>
      </c>
    </row>
    <row r="21" spans="1:19" x14ac:dyDescent="0.3">
      <c r="A21" s="68"/>
      <c r="B21" s="61" t="str">
        <f>IFERROR(VLOOKUP($A21,InvDump[#All],MATCH(B$3,InvDump[#Headers],0),FALSE),"-")</f>
        <v>-</v>
      </c>
      <c r="C21" s="62" t="str">
        <f>IFERROR(VLOOKUP($A21,InvDump[#All],MATCH(C$3,InvDump[#Headers],0),FALSE),"-")</f>
        <v>-</v>
      </c>
      <c r="D21" s="61" t="str">
        <f>IFERROR(VLOOKUP($A21,InvDump[#All],MATCH(D$3,InvDump[#Headers],0),FALSE),"-")</f>
        <v>-</v>
      </c>
      <c r="E21" s="61" t="str">
        <f>IFERROR(VLOOKUP($A21,InvDump[#All],MATCH(E$3,InvDump[#Headers],0),FALSE),"-")</f>
        <v>-</v>
      </c>
      <c r="F21" s="61" t="str">
        <f>IFERROR(VLOOKUP($A21,InvDump[#All],MATCH(F$3,InvDump[#Headers],0),FALSE),"-")</f>
        <v>-</v>
      </c>
      <c r="G21" s="61" t="str">
        <f>IFERROR(VLOOKUP($A21,InvDump[#All],MATCH(G$3,InvDump[#Headers],0),FALSE),"-")</f>
        <v>-</v>
      </c>
      <c r="H21" s="63" t="str">
        <f>IFERROR(VLOOKUP(G21,CustomerData!$B$4:$D$13,3),"-")</f>
        <v>-</v>
      </c>
      <c r="I21" s="61" t="str">
        <f>IFERROR(VLOOKUP($A21,InvDump[#All],MATCH(I$3,InvDump[#Headers],0),FALSE),"-")</f>
        <v>-</v>
      </c>
      <c r="J21" s="61" t="str">
        <f>IFERROR(VLOOKUP($A21,InvDump[#All],MATCH(J$3,InvDump[#Headers],0),FALSE),"-")</f>
        <v>-</v>
      </c>
      <c r="K21" s="61" t="str">
        <f>IFERROR(VLOOKUP($A21,InvDump[#All],MATCH(K$3,InvDump[#Headers],0),FALSE),"-")</f>
        <v>-</v>
      </c>
      <c r="L21" s="64" t="str">
        <f>IFERROR(VLOOKUP($A21,InvDump[#All],MATCH(L$3,InvDump[#Headers],0),FALSE),"-")</f>
        <v>-</v>
      </c>
      <c r="M21" s="64" t="str">
        <f>IFERROR(VLOOKUP($A21,InvDump[#All],MATCH(M$3,InvDump[#Headers],0),FALSE),"-")</f>
        <v>-</v>
      </c>
      <c r="N21" s="64" t="str">
        <f>IFERROR(VLOOKUP($A21,InvDump[#All],MATCH(N$3,InvDump[#Headers],0),FALSE),"-")</f>
        <v>-</v>
      </c>
      <c r="O21" s="64" t="str">
        <f>IFERROR(VLOOKUP($A21,InvDump[#All],MATCH(O$3,InvDump[#Headers],0),FALSE),"-")</f>
        <v>-</v>
      </c>
      <c r="P21" s="67" t="str">
        <f>IFERROR(VLOOKUP($A21,InvDump[#All],MATCH(P$3,InvDump[#Headers],0),FALSE),"")</f>
        <v/>
      </c>
      <c r="Q21" s="65" t="str">
        <f>IFERROR(VLOOKUP($A21,InvDump[#All],MATCH(Q$3,InvDump[#Headers],0),FALSE),"")</f>
        <v/>
      </c>
      <c r="R21" s="65" t="str">
        <f>IFERROR(IF(VLOOKUP($A21,InvDump[#All],MATCH(R$3,InvDump[#Headers],0),FALSE)=0,"",VLOOKUP($A21,InvDump[#All],MATCH(R$3,InvDump[#Headers],0),FALSE)),"")</f>
        <v/>
      </c>
      <c r="S21" s="66" t="str">
        <f>IFERROR(IF(InvDump[[#This Row],[Annexure]]="Yes",VLOOKUP($A21,InvDump[#All],20,FALSE)&amp;"; "&amp;VLOOKUP($A21,InvDump[#All],22,FALSE),VLOOKUP($A21,InvDump[#All],20,FALSE)),"")</f>
        <v/>
      </c>
    </row>
    <row r="22" spans="1:19" x14ac:dyDescent="0.3">
      <c r="A22" s="68"/>
      <c r="B22" s="61" t="str">
        <f>IFERROR(VLOOKUP($A22,InvDump[#All],MATCH(B$3,InvDump[#Headers],0),FALSE),"-")</f>
        <v>-</v>
      </c>
      <c r="C22" s="62" t="str">
        <f>IFERROR(VLOOKUP($A22,InvDump[#All],MATCH(C$3,InvDump[#Headers],0),FALSE),"-")</f>
        <v>-</v>
      </c>
      <c r="D22" s="61" t="str">
        <f>IFERROR(VLOOKUP($A22,InvDump[#All],MATCH(D$3,InvDump[#Headers],0),FALSE),"-")</f>
        <v>-</v>
      </c>
      <c r="E22" s="61" t="str">
        <f>IFERROR(VLOOKUP($A22,InvDump[#All],MATCH(E$3,InvDump[#Headers],0),FALSE),"-")</f>
        <v>-</v>
      </c>
      <c r="F22" s="61" t="str">
        <f>IFERROR(VLOOKUP($A22,InvDump[#All],MATCH(F$3,InvDump[#Headers],0),FALSE),"-")</f>
        <v>-</v>
      </c>
      <c r="G22" s="61" t="str">
        <f>IFERROR(VLOOKUP($A22,InvDump[#All],MATCH(G$3,InvDump[#Headers],0),FALSE),"-")</f>
        <v>-</v>
      </c>
      <c r="H22" s="63" t="str">
        <f>IFERROR(VLOOKUP(G22,CustomerData!$B$4:$D$13,3),"-")</f>
        <v>-</v>
      </c>
      <c r="I22" s="61" t="str">
        <f>IFERROR(VLOOKUP($A22,InvDump[#All],MATCH(I$3,InvDump[#Headers],0),FALSE),"-")</f>
        <v>-</v>
      </c>
      <c r="J22" s="61" t="str">
        <f>IFERROR(VLOOKUP($A22,InvDump[#All],MATCH(J$3,InvDump[#Headers],0),FALSE),"-")</f>
        <v>-</v>
      </c>
      <c r="K22" s="61" t="str">
        <f>IFERROR(VLOOKUP($A22,InvDump[#All],MATCH(K$3,InvDump[#Headers],0),FALSE),"-")</f>
        <v>-</v>
      </c>
      <c r="L22" s="64" t="str">
        <f>IFERROR(VLOOKUP($A22,InvDump[#All],MATCH(L$3,InvDump[#Headers],0),FALSE),"-")</f>
        <v>-</v>
      </c>
      <c r="M22" s="64" t="str">
        <f>IFERROR(VLOOKUP($A22,InvDump[#All],MATCH(M$3,InvDump[#Headers],0),FALSE),"-")</f>
        <v>-</v>
      </c>
      <c r="N22" s="64" t="str">
        <f>IFERROR(VLOOKUP($A22,InvDump[#All],MATCH(N$3,InvDump[#Headers],0),FALSE),"-")</f>
        <v>-</v>
      </c>
      <c r="O22" s="64" t="str">
        <f>IFERROR(VLOOKUP($A22,InvDump[#All],MATCH(O$3,InvDump[#Headers],0),FALSE),"-")</f>
        <v>-</v>
      </c>
      <c r="P22" s="67" t="str">
        <f>IFERROR(VLOOKUP($A22,InvDump[#All],MATCH(P$3,InvDump[#Headers],0),FALSE),"")</f>
        <v/>
      </c>
      <c r="Q22" s="65" t="str">
        <f>IFERROR(VLOOKUP($A22,InvDump[#All],MATCH(Q$3,InvDump[#Headers],0),FALSE),"")</f>
        <v/>
      </c>
      <c r="R22" s="65" t="str">
        <f>IFERROR(IF(VLOOKUP($A22,InvDump[#All],MATCH(R$3,InvDump[#Headers],0),FALSE)=0,"",VLOOKUP($A22,InvDump[#All],MATCH(R$3,InvDump[#Headers],0),FALSE)),"")</f>
        <v/>
      </c>
      <c r="S22" s="66" t="str">
        <f>IFERROR(IF(InvDump[[#This Row],[Annexure]]="Yes",VLOOKUP($A22,InvDump[#All],20,FALSE)&amp;"; "&amp;VLOOKUP($A22,InvDump[#All],22,FALSE),VLOOKUP($A22,InvDump[#All],20,FALSE)),"")</f>
        <v/>
      </c>
    </row>
    <row r="23" spans="1:19" x14ac:dyDescent="0.3">
      <c r="A23" s="68"/>
      <c r="B23" s="61" t="str">
        <f>IFERROR(VLOOKUP($A23,InvDump[#All],MATCH(B$3,InvDump[#Headers],0),FALSE),"-")</f>
        <v>-</v>
      </c>
      <c r="C23" s="62" t="str">
        <f>IFERROR(VLOOKUP($A23,InvDump[#All],MATCH(C$3,InvDump[#Headers],0),FALSE),"-")</f>
        <v>-</v>
      </c>
      <c r="D23" s="61" t="str">
        <f>IFERROR(VLOOKUP($A23,InvDump[#All],MATCH(D$3,InvDump[#Headers],0),FALSE),"-")</f>
        <v>-</v>
      </c>
      <c r="E23" s="61" t="str">
        <f>IFERROR(VLOOKUP($A23,InvDump[#All],MATCH(E$3,InvDump[#Headers],0),FALSE),"-")</f>
        <v>-</v>
      </c>
      <c r="F23" s="61" t="str">
        <f>IFERROR(VLOOKUP($A23,InvDump[#All],MATCH(F$3,InvDump[#Headers],0),FALSE),"-")</f>
        <v>-</v>
      </c>
      <c r="G23" s="61" t="str">
        <f>IFERROR(VLOOKUP($A23,InvDump[#All],MATCH(G$3,InvDump[#Headers],0),FALSE),"-")</f>
        <v>-</v>
      </c>
      <c r="H23" s="63" t="str">
        <f>IFERROR(VLOOKUP(G23,CustomerData!$B$4:$D$13,3),"-")</f>
        <v>-</v>
      </c>
      <c r="I23" s="61" t="str">
        <f>IFERROR(VLOOKUP($A23,InvDump[#All],MATCH(I$3,InvDump[#Headers],0),FALSE),"-")</f>
        <v>-</v>
      </c>
      <c r="J23" s="61" t="str">
        <f>IFERROR(VLOOKUP($A23,InvDump[#All],MATCH(J$3,InvDump[#Headers],0),FALSE),"-")</f>
        <v>-</v>
      </c>
      <c r="K23" s="61" t="str">
        <f>IFERROR(VLOOKUP($A23,InvDump[#All],MATCH(K$3,InvDump[#Headers],0),FALSE),"-")</f>
        <v>-</v>
      </c>
      <c r="L23" s="64" t="str">
        <f>IFERROR(VLOOKUP($A23,InvDump[#All],MATCH(L$3,InvDump[#Headers],0),FALSE),"-")</f>
        <v>-</v>
      </c>
      <c r="M23" s="64" t="str">
        <f>IFERROR(VLOOKUP($A23,InvDump[#All],MATCH(M$3,InvDump[#Headers],0),FALSE),"-")</f>
        <v>-</v>
      </c>
      <c r="N23" s="64" t="str">
        <f>IFERROR(VLOOKUP($A23,InvDump[#All],MATCH(N$3,InvDump[#Headers],0),FALSE),"-")</f>
        <v>-</v>
      </c>
      <c r="O23" s="64" t="str">
        <f>IFERROR(VLOOKUP($A23,InvDump[#All],MATCH(O$3,InvDump[#Headers],0),FALSE),"-")</f>
        <v>-</v>
      </c>
      <c r="P23" s="67" t="str">
        <f>IFERROR(VLOOKUP($A23,InvDump[#All],MATCH(P$3,InvDump[#Headers],0),FALSE),"")</f>
        <v/>
      </c>
      <c r="Q23" s="65" t="str">
        <f>IFERROR(VLOOKUP($A23,InvDump[#All],MATCH(Q$3,InvDump[#Headers],0),FALSE),"")</f>
        <v/>
      </c>
      <c r="R23" s="65" t="str">
        <f>IFERROR(IF(VLOOKUP($A23,InvDump[#All],MATCH(R$3,InvDump[#Headers],0),FALSE)=0,"",VLOOKUP($A23,InvDump[#All],MATCH(R$3,InvDump[#Headers],0),FALSE)),"")</f>
        <v/>
      </c>
      <c r="S23" s="66" t="str">
        <f>IFERROR(IF(InvDump[[#This Row],[Annexure]]="Yes",VLOOKUP($A23,InvDump[#All],20,FALSE)&amp;"; "&amp;VLOOKUP($A23,InvDump[#All],22,FALSE),VLOOKUP($A23,InvDump[#All],20,FALSE)),"")</f>
        <v/>
      </c>
    </row>
    <row r="24" spans="1:19" x14ac:dyDescent="0.3">
      <c r="A24" s="68"/>
      <c r="B24" s="61" t="str">
        <f>IFERROR(VLOOKUP($A24,InvDump[#All],MATCH(B$3,InvDump[#Headers],0),FALSE),"-")</f>
        <v>-</v>
      </c>
      <c r="C24" s="62" t="str">
        <f>IFERROR(VLOOKUP($A24,InvDump[#All],MATCH(C$3,InvDump[#Headers],0),FALSE),"-")</f>
        <v>-</v>
      </c>
      <c r="D24" s="61" t="str">
        <f>IFERROR(VLOOKUP($A24,InvDump[#All],MATCH(D$3,InvDump[#Headers],0),FALSE),"-")</f>
        <v>-</v>
      </c>
      <c r="E24" s="61" t="str">
        <f>IFERROR(VLOOKUP($A24,InvDump[#All],MATCH(E$3,InvDump[#Headers],0),FALSE),"-")</f>
        <v>-</v>
      </c>
      <c r="F24" s="61" t="str">
        <f>IFERROR(VLOOKUP($A24,InvDump[#All],MATCH(F$3,InvDump[#Headers],0),FALSE),"-")</f>
        <v>-</v>
      </c>
      <c r="G24" s="61" t="str">
        <f>IFERROR(VLOOKUP($A24,InvDump[#All],MATCH(G$3,InvDump[#Headers],0),FALSE),"-")</f>
        <v>-</v>
      </c>
      <c r="H24" s="63" t="str">
        <f>IFERROR(VLOOKUP(G24,CustomerData!$B$4:$D$13,3),"-")</f>
        <v>-</v>
      </c>
      <c r="I24" s="61" t="str">
        <f>IFERROR(VLOOKUP($A24,InvDump[#All],MATCH(I$3,InvDump[#Headers],0),FALSE),"-")</f>
        <v>-</v>
      </c>
      <c r="J24" s="61" t="str">
        <f>IFERROR(VLOOKUP($A24,InvDump[#All],MATCH(J$3,InvDump[#Headers],0),FALSE),"-")</f>
        <v>-</v>
      </c>
      <c r="K24" s="61" t="str">
        <f>IFERROR(VLOOKUP($A24,InvDump[#All],MATCH(K$3,InvDump[#Headers],0),FALSE),"-")</f>
        <v>-</v>
      </c>
      <c r="L24" s="64" t="str">
        <f>IFERROR(VLOOKUP($A24,InvDump[#All],MATCH(L$3,InvDump[#Headers],0),FALSE),"-")</f>
        <v>-</v>
      </c>
      <c r="M24" s="64" t="str">
        <f>IFERROR(VLOOKUP($A24,InvDump[#All],MATCH(M$3,InvDump[#Headers],0),FALSE),"-")</f>
        <v>-</v>
      </c>
      <c r="N24" s="64" t="str">
        <f>IFERROR(VLOOKUP($A24,InvDump[#All],MATCH(N$3,InvDump[#Headers],0),FALSE),"-")</f>
        <v>-</v>
      </c>
      <c r="O24" s="64" t="str">
        <f>IFERROR(VLOOKUP($A24,InvDump[#All],MATCH(O$3,InvDump[#Headers],0),FALSE),"-")</f>
        <v>-</v>
      </c>
      <c r="P24" s="67" t="str">
        <f>IFERROR(VLOOKUP($A24,InvDump[#All],MATCH(P$3,InvDump[#Headers],0),FALSE),"")</f>
        <v/>
      </c>
      <c r="Q24" s="65" t="str">
        <f>IFERROR(VLOOKUP($A24,InvDump[#All],MATCH(Q$3,InvDump[#Headers],0),FALSE),"")</f>
        <v/>
      </c>
      <c r="R24" s="65" t="str">
        <f>IFERROR(IF(VLOOKUP($A24,InvDump[#All],MATCH(R$3,InvDump[#Headers],0),FALSE)=0,"",VLOOKUP($A24,InvDump[#All],MATCH(R$3,InvDump[#Headers],0),FALSE)),"")</f>
        <v/>
      </c>
      <c r="S24" s="66" t="str">
        <f>IFERROR(IF(InvDump[[#This Row],[Annexure]]="Yes",VLOOKUP($A24,InvDump[#All],20,FALSE)&amp;"; "&amp;VLOOKUP($A24,InvDump[#All],22,FALSE),VLOOKUP($A24,InvDump[#All],20,FALSE)),"")</f>
        <v/>
      </c>
    </row>
    <row r="25" spans="1:19" x14ac:dyDescent="0.3">
      <c r="A25" s="68"/>
      <c r="B25" s="61" t="str">
        <f>IFERROR(VLOOKUP($A25,InvDump[#All],MATCH(B$3,InvDump[#Headers],0),FALSE),"-")</f>
        <v>-</v>
      </c>
      <c r="C25" s="62" t="str">
        <f>IFERROR(VLOOKUP($A25,InvDump[#All],MATCH(C$3,InvDump[#Headers],0),FALSE),"-")</f>
        <v>-</v>
      </c>
      <c r="D25" s="61" t="str">
        <f>IFERROR(VLOOKUP($A25,InvDump[#All],MATCH(D$3,InvDump[#Headers],0),FALSE),"-")</f>
        <v>-</v>
      </c>
      <c r="E25" s="61" t="str">
        <f>IFERROR(VLOOKUP($A25,InvDump[#All],MATCH(E$3,InvDump[#Headers],0),FALSE),"-")</f>
        <v>-</v>
      </c>
      <c r="F25" s="61" t="str">
        <f>IFERROR(VLOOKUP($A25,InvDump[#All],MATCH(F$3,InvDump[#Headers],0),FALSE),"-")</f>
        <v>-</v>
      </c>
      <c r="G25" s="61" t="str">
        <f>IFERROR(VLOOKUP($A25,InvDump[#All],MATCH(G$3,InvDump[#Headers],0),FALSE),"-")</f>
        <v>-</v>
      </c>
      <c r="H25" s="63" t="str">
        <f>IFERROR(VLOOKUP(G25,CustomerData!$B$4:$D$13,3),"-")</f>
        <v>-</v>
      </c>
      <c r="I25" s="61" t="str">
        <f>IFERROR(VLOOKUP($A25,InvDump[#All],MATCH(I$3,InvDump[#Headers],0),FALSE),"-")</f>
        <v>-</v>
      </c>
      <c r="J25" s="61" t="str">
        <f>IFERROR(VLOOKUP($A25,InvDump[#All],MATCH(J$3,InvDump[#Headers],0),FALSE),"-")</f>
        <v>-</v>
      </c>
      <c r="K25" s="61" t="str">
        <f>IFERROR(VLOOKUP($A25,InvDump[#All],MATCH(K$3,InvDump[#Headers],0),FALSE),"-")</f>
        <v>-</v>
      </c>
      <c r="L25" s="64" t="str">
        <f>IFERROR(VLOOKUP($A25,InvDump[#All],MATCH(L$3,InvDump[#Headers],0),FALSE),"-")</f>
        <v>-</v>
      </c>
      <c r="M25" s="64" t="str">
        <f>IFERROR(VLOOKUP($A25,InvDump[#All],MATCH(M$3,InvDump[#Headers],0),FALSE),"-")</f>
        <v>-</v>
      </c>
      <c r="N25" s="64" t="str">
        <f>IFERROR(VLOOKUP($A25,InvDump[#All],MATCH(N$3,InvDump[#Headers],0),FALSE),"-")</f>
        <v>-</v>
      </c>
      <c r="O25" s="64" t="str">
        <f>IFERROR(VLOOKUP($A25,InvDump[#All],MATCH(O$3,InvDump[#Headers],0),FALSE),"-")</f>
        <v>-</v>
      </c>
      <c r="P25" s="67" t="str">
        <f>IFERROR(VLOOKUP($A25,InvDump[#All],MATCH(P$3,InvDump[#Headers],0),FALSE),"")</f>
        <v/>
      </c>
      <c r="Q25" s="65" t="str">
        <f>IFERROR(VLOOKUP($A25,InvDump[#All],MATCH(Q$3,InvDump[#Headers],0),FALSE),"")</f>
        <v/>
      </c>
      <c r="R25" s="65" t="str">
        <f>IFERROR(IF(VLOOKUP($A25,InvDump[#All],MATCH(R$3,InvDump[#Headers],0),FALSE)=0,"",VLOOKUP($A25,InvDump[#All],MATCH(R$3,InvDump[#Headers],0),FALSE)),"")</f>
        <v/>
      </c>
      <c r="S25" s="66" t="str">
        <f>IFERROR(IF(InvDump[[#This Row],[Annexure]]="Yes",VLOOKUP($A25,InvDump[#All],20,FALSE)&amp;"; "&amp;VLOOKUP($A25,InvDump[#All],22,FALSE),VLOOKUP($A25,InvDump[#All],20,FALSE)),"")</f>
        <v/>
      </c>
    </row>
    <row r="26" spans="1:19" x14ac:dyDescent="0.3">
      <c r="A26" s="68"/>
      <c r="B26" s="61" t="str">
        <f>IFERROR(VLOOKUP($A26,InvDump[#All],MATCH(B$3,InvDump[#Headers],0),FALSE),"-")</f>
        <v>-</v>
      </c>
      <c r="C26" s="62" t="str">
        <f>IFERROR(VLOOKUP($A26,InvDump[#All],MATCH(C$3,InvDump[#Headers],0),FALSE),"-")</f>
        <v>-</v>
      </c>
      <c r="D26" s="61" t="str">
        <f>IFERROR(VLOOKUP($A26,InvDump[#All],MATCH(D$3,InvDump[#Headers],0),FALSE),"-")</f>
        <v>-</v>
      </c>
      <c r="E26" s="61" t="str">
        <f>IFERROR(VLOOKUP($A26,InvDump[#All],MATCH(E$3,InvDump[#Headers],0),FALSE),"-")</f>
        <v>-</v>
      </c>
      <c r="F26" s="61" t="str">
        <f>IFERROR(VLOOKUP($A26,InvDump[#All],MATCH(F$3,InvDump[#Headers],0),FALSE),"-")</f>
        <v>-</v>
      </c>
      <c r="G26" s="61" t="str">
        <f>IFERROR(VLOOKUP($A26,InvDump[#All],MATCH(G$3,InvDump[#Headers],0),FALSE),"-")</f>
        <v>-</v>
      </c>
      <c r="H26" s="63" t="str">
        <f>IFERROR(VLOOKUP(G26,CustomerData!$B$4:$D$13,3),"-")</f>
        <v>-</v>
      </c>
      <c r="I26" s="61" t="str">
        <f>IFERROR(VLOOKUP($A26,InvDump[#All],MATCH(I$3,InvDump[#Headers],0),FALSE),"-")</f>
        <v>-</v>
      </c>
      <c r="J26" s="61" t="str">
        <f>IFERROR(VLOOKUP($A26,InvDump[#All],MATCH(J$3,InvDump[#Headers],0),FALSE),"-")</f>
        <v>-</v>
      </c>
      <c r="K26" s="61" t="str">
        <f>IFERROR(VLOOKUP($A26,InvDump[#All],MATCH(K$3,InvDump[#Headers],0),FALSE),"-")</f>
        <v>-</v>
      </c>
      <c r="L26" s="64" t="str">
        <f>IFERROR(VLOOKUP($A26,InvDump[#All],MATCH(L$3,InvDump[#Headers],0),FALSE),"-")</f>
        <v>-</v>
      </c>
      <c r="M26" s="64" t="str">
        <f>IFERROR(VLOOKUP($A26,InvDump[#All],MATCH(M$3,InvDump[#Headers],0),FALSE),"-")</f>
        <v>-</v>
      </c>
      <c r="N26" s="64" t="str">
        <f>IFERROR(VLOOKUP($A26,InvDump[#All],MATCH(N$3,InvDump[#Headers],0),FALSE),"-")</f>
        <v>-</v>
      </c>
      <c r="O26" s="64" t="str">
        <f>IFERROR(VLOOKUP($A26,InvDump[#All],MATCH(O$3,InvDump[#Headers],0),FALSE),"-")</f>
        <v>-</v>
      </c>
      <c r="P26" s="67" t="str">
        <f>IFERROR(VLOOKUP($A26,InvDump[#All],MATCH(P$3,InvDump[#Headers],0),FALSE),"")</f>
        <v/>
      </c>
      <c r="Q26" s="65" t="str">
        <f>IFERROR(VLOOKUP($A26,InvDump[#All],MATCH(Q$3,InvDump[#Headers],0),FALSE),"")</f>
        <v/>
      </c>
      <c r="R26" s="65" t="str">
        <f>IFERROR(IF(VLOOKUP($A26,InvDump[#All],MATCH(R$3,InvDump[#Headers],0),FALSE)=0,"",VLOOKUP($A26,InvDump[#All],MATCH(R$3,InvDump[#Headers],0),FALSE)),"")</f>
        <v/>
      </c>
      <c r="S26" s="66" t="str">
        <f>IFERROR(IF(InvDump[[#This Row],[Annexure]]="Yes",VLOOKUP($A26,InvDump[#All],20,FALSE)&amp;"; "&amp;VLOOKUP($A26,InvDump[#All],22,FALSE),VLOOKUP($A26,InvDump[#All],20,FALSE)),"")</f>
        <v/>
      </c>
    </row>
    <row r="27" spans="1:19" x14ac:dyDescent="0.3">
      <c r="A27" s="68"/>
      <c r="B27" s="61" t="str">
        <f>IFERROR(VLOOKUP($A27,InvDump[#All],MATCH(B$3,InvDump[#Headers],0),FALSE),"-")</f>
        <v>-</v>
      </c>
      <c r="C27" s="62" t="str">
        <f>IFERROR(VLOOKUP($A27,InvDump[#All],MATCH(C$3,InvDump[#Headers],0),FALSE),"-")</f>
        <v>-</v>
      </c>
      <c r="D27" s="61" t="str">
        <f>IFERROR(VLOOKUP($A27,InvDump[#All],MATCH(D$3,InvDump[#Headers],0),FALSE),"-")</f>
        <v>-</v>
      </c>
      <c r="E27" s="61" t="str">
        <f>IFERROR(VLOOKUP($A27,InvDump[#All],MATCH(E$3,InvDump[#Headers],0),FALSE),"-")</f>
        <v>-</v>
      </c>
      <c r="F27" s="61" t="str">
        <f>IFERROR(VLOOKUP($A27,InvDump[#All],MATCH(F$3,InvDump[#Headers],0),FALSE),"-")</f>
        <v>-</v>
      </c>
      <c r="G27" s="61" t="str">
        <f>IFERROR(VLOOKUP($A27,InvDump[#All],MATCH(G$3,InvDump[#Headers],0),FALSE),"-")</f>
        <v>-</v>
      </c>
      <c r="H27" s="63" t="str">
        <f>IFERROR(VLOOKUP(G27,CustomerData!$B$4:$D$13,3),"-")</f>
        <v>-</v>
      </c>
      <c r="I27" s="61" t="str">
        <f>IFERROR(VLOOKUP($A27,InvDump[#All],MATCH(I$3,InvDump[#Headers],0),FALSE),"-")</f>
        <v>-</v>
      </c>
      <c r="J27" s="61" t="str">
        <f>IFERROR(VLOOKUP($A27,InvDump[#All],MATCH(J$3,InvDump[#Headers],0),FALSE),"-")</f>
        <v>-</v>
      </c>
      <c r="K27" s="61" t="str">
        <f>IFERROR(VLOOKUP($A27,InvDump[#All],MATCH(K$3,InvDump[#Headers],0),FALSE),"-")</f>
        <v>-</v>
      </c>
      <c r="L27" s="64" t="str">
        <f>IFERROR(VLOOKUP($A27,InvDump[#All],MATCH(L$3,InvDump[#Headers],0),FALSE),"-")</f>
        <v>-</v>
      </c>
      <c r="M27" s="64" t="str">
        <f>IFERROR(VLOOKUP($A27,InvDump[#All],MATCH(M$3,InvDump[#Headers],0),FALSE),"-")</f>
        <v>-</v>
      </c>
      <c r="N27" s="64" t="str">
        <f>IFERROR(VLOOKUP($A27,InvDump[#All],MATCH(N$3,InvDump[#Headers],0),FALSE),"-")</f>
        <v>-</v>
      </c>
      <c r="O27" s="64" t="str">
        <f>IFERROR(VLOOKUP($A27,InvDump[#All],MATCH(O$3,InvDump[#Headers],0),FALSE),"-")</f>
        <v>-</v>
      </c>
      <c r="P27" s="67" t="str">
        <f>IFERROR(VLOOKUP($A27,InvDump[#All],MATCH(P$3,InvDump[#Headers],0),FALSE),"")</f>
        <v/>
      </c>
      <c r="Q27" s="65" t="str">
        <f>IFERROR(VLOOKUP($A27,InvDump[#All],MATCH(Q$3,InvDump[#Headers],0),FALSE),"")</f>
        <v/>
      </c>
      <c r="R27" s="65" t="str">
        <f>IFERROR(IF(VLOOKUP($A27,InvDump[#All],MATCH(R$3,InvDump[#Headers],0),FALSE)=0,"",VLOOKUP($A27,InvDump[#All],MATCH(R$3,InvDump[#Headers],0),FALSE)),"")</f>
        <v/>
      </c>
      <c r="S27" s="66" t="str">
        <f>IFERROR(IF(InvDump[[#This Row],[Annexure]]="Yes",VLOOKUP($A27,InvDump[#All],20,FALSE)&amp;"; "&amp;VLOOKUP($A27,InvDump[#All],22,FALSE),VLOOKUP($A27,InvDump[#All],20,FALSE)),"")</f>
        <v/>
      </c>
    </row>
    <row r="28" spans="1:19" x14ac:dyDescent="0.3">
      <c r="A28" s="68"/>
      <c r="B28" s="61" t="str">
        <f>IFERROR(VLOOKUP($A28,InvDump[#All],MATCH(B$3,InvDump[#Headers],0),FALSE),"-")</f>
        <v>-</v>
      </c>
      <c r="C28" s="62" t="str">
        <f>IFERROR(VLOOKUP($A28,InvDump[#All],MATCH(C$3,InvDump[#Headers],0),FALSE),"-")</f>
        <v>-</v>
      </c>
      <c r="D28" s="61" t="str">
        <f>IFERROR(VLOOKUP($A28,InvDump[#All],MATCH(D$3,InvDump[#Headers],0),FALSE),"-")</f>
        <v>-</v>
      </c>
      <c r="E28" s="61" t="str">
        <f>IFERROR(VLOOKUP($A28,InvDump[#All],MATCH(E$3,InvDump[#Headers],0),FALSE),"-")</f>
        <v>-</v>
      </c>
      <c r="F28" s="61" t="str">
        <f>IFERROR(VLOOKUP($A28,InvDump[#All],MATCH(F$3,InvDump[#Headers],0),FALSE),"-")</f>
        <v>-</v>
      </c>
      <c r="G28" s="61" t="str">
        <f>IFERROR(VLOOKUP($A28,InvDump[#All],MATCH(G$3,InvDump[#Headers],0),FALSE),"-")</f>
        <v>-</v>
      </c>
      <c r="H28" s="63" t="str">
        <f>IFERROR(VLOOKUP(G28,CustomerData!$B$4:$D$13,3),"-")</f>
        <v>-</v>
      </c>
      <c r="I28" s="61" t="str">
        <f>IFERROR(VLOOKUP($A28,InvDump[#All],MATCH(I$3,InvDump[#Headers],0),FALSE),"-")</f>
        <v>-</v>
      </c>
      <c r="J28" s="61" t="str">
        <f>IFERROR(VLOOKUP($A28,InvDump[#All],MATCH(J$3,InvDump[#Headers],0),FALSE),"-")</f>
        <v>-</v>
      </c>
      <c r="K28" s="61" t="str">
        <f>IFERROR(VLOOKUP($A28,InvDump[#All],MATCH(K$3,InvDump[#Headers],0),FALSE),"-")</f>
        <v>-</v>
      </c>
      <c r="L28" s="64" t="str">
        <f>IFERROR(VLOOKUP($A28,InvDump[#All],MATCH(L$3,InvDump[#Headers],0),FALSE),"-")</f>
        <v>-</v>
      </c>
      <c r="M28" s="64" t="str">
        <f>IFERROR(VLOOKUP($A28,InvDump[#All],MATCH(M$3,InvDump[#Headers],0),FALSE),"-")</f>
        <v>-</v>
      </c>
      <c r="N28" s="64" t="str">
        <f>IFERROR(VLOOKUP($A28,InvDump[#All],MATCH(N$3,InvDump[#Headers],0),FALSE),"-")</f>
        <v>-</v>
      </c>
      <c r="O28" s="64" t="str">
        <f>IFERROR(VLOOKUP($A28,InvDump[#All],MATCH(O$3,InvDump[#Headers],0),FALSE),"-")</f>
        <v>-</v>
      </c>
      <c r="P28" s="67" t="str">
        <f>IFERROR(VLOOKUP($A28,InvDump[#All],MATCH(P$3,InvDump[#Headers],0),FALSE),"")</f>
        <v/>
      </c>
      <c r="Q28" s="65" t="str">
        <f>IFERROR(VLOOKUP($A28,InvDump[#All],MATCH(Q$3,InvDump[#Headers],0),FALSE),"")</f>
        <v/>
      </c>
      <c r="R28" s="65" t="str">
        <f>IFERROR(IF(VLOOKUP($A28,InvDump[#All],MATCH(R$3,InvDump[#Headers],0),FALSE)=0,"",VLOOKUP($A28,InvDump[#All],MATCH(R$3,InvDump[#Headers],0),FALSE)),"")</f>
        <v/>
      </c>
      <c r="S28" s="66" t="str">
        <f>IFERROR(IF(InvDump[[#This Row],[Annexure]]="Yes",VLOOKUP($A28,InvDump[#All],20,FALSE)&amp;"; "&amp;VLOOKUP($A28,InvDump[#All],22,FALSE),VLOOKUP($A28,InvDump[#All],20,FALSE)),"")</f>
        <v/>
      </c>
    </row>
    <row r="29" spans="1:19" x14ac:dyDescent="0.3">
      <c r="A29" s="68"/>
      <c r="B29" s="61" t="str">
        <f>IFERROR(VLOOKUP($A29,InvDump[#All],MATCH(B$3,InvDump[#Headers],0),FALSE),"-")</f>
        <v>-</v>
      </c>
      <c r="C29" s="62" t="str">
        <f>IFERROR(VLOOKUP($A29,InvDump[#All],MATCH(C$3,InvDump[#Headers],0),FALSE),"-")</f>
        <v>-</v>
      </c>
      <c r="D29" s="61" t="str">
        <f>IFERROR(VLOOKUP($A29,InvDump[#All],MATCH(D$3,InvDump[#Headers],0),FALSE),"-")</f>
        <v>-</v>
      </c>
      <c r="E29" s="61" t="str">
        <f>IFERROR(VLOOKUP($A29,InvDump[#All],MATCH(E$3,InvDump[#Headers],0),FALSE),"-")</f>
        <v>-</v>
      </c>
      <c r="F29" s="61" t="str">
        <f>IFERROR(VLOOKUP($A29,InvDump[#All],MATCH(F$3,InvDump[#Headers],0),FALSE),"-")</f>
        <v>-</v>
      </c>
      <c r="G29" s="61" t="str">
        <f>IFERROR(VLOOKUP($A29,InvDump[#All],MATCH(G$3,InvDump[#Headers],0),FALSE),"-")</f>
        <v>-</v>
      </c>
      <c r="H29" s="63" t="str">
        <f>IFERROR(VLOOKUP(G29,CustomerData!$B$4:$D$13,3),"-")</f>
        <v>-</v>
      </c>
      <c r="I29" s="61" t="str">
        <f>IFERROR(VLOOKUP($A29,InvDump[#All],MATCH(I$3,InvDump[#Headers],0),FALSE),"-")</f>
        <v>-</v>
      </c>
      <c r="J29" s="61" t="str">
        <f>IFERROR(VLOOKUP($A29,InvDump[#All],MATCH(J$3,InvDump[#Headers],0),FALSE),"-")</f>
        <v>-</v>
      </c>
      <c r="K29" s="61" t="str">
        <f>IFERROR(VLOOKUP($A29,InvDump[#All],MATCH(K$3,InvDump[#Headers],0),FALSE),"-")</f>
        <v>-</v>
      </c>
      <c r="L29" s="64" t="str">
        <f>IFERROR(VLOOKUP($A29,InvDump[#All],MATCH(L$3,InvDump[#Headers],0),FALSE),"-")</f>
        <v>-</v>
      </c>
      <c r="M29" s="64" t="str">
        <f>IFERROR(VLOOKUP($A29,InvDump[#All],MATCH(M$3,InvDump[#Headers],0),FALSE),"-")</f>
        <v>-</v>
      </c>
      <c r="N29" s="64" t="str">
        <f>IFERROR(VLOOKUP($A29,InvDump[#All],MATCH(N$3,InvDump[#Headers],0),FALSE),"-")</f>
        <v>-</v>
      </c>
      <c r="O29" s="64" t="str">
        <f>IFERROR(VLOOKUP($A29,InvDump[#All],MATCH(O$3,InvDump[#Headers],0),FALSE),"-")</f>
        <v>-</v>
      </c>
      <c r="P29" s="67" t="str">
        <f>IFERROR(VLOOKUP($A29,InvDump[#All],MATCH(P$3,InvDump[#Headers],0),FALSE),"")</f>
        <v/>
      </c>
      <c r="Q29" s="65" t="str">
        <f>IFERROR(VLOOKUP($A29,InvDump[#All],MATCH(Q$3,InvDump[#Headers],0),FALSE),"")</f>
        <v/>
      </c>
      <c r="R29" s="65" t="str">
        <f>IFERROR(IF(VLOOKUP($A29,InvDump[#All],MATCH(R$3,InvDump[#Headers],0),FALSE)=0,"",VLOOKUP($A29,InvDump[#All],MATCH(R$3,InvDump[#Headers],0),FALSE)),"")</f>
        <v/>
      </c>
      <c r="S29" s="66" t="str">
        <f>IFERROR(IF(InvDump[[#This Row],[Annexure]]="Yes",VLOOKUP($A29,InvDump[#All],20,FALSE)&amp;"; "&amp;VLOOKUP($A29,InvDump[#All],22,FALSE),VLOOKUP($A29,InvDump[#All],20,FALSE)),"")</f>
        <v/>
      </c>
    </row>
    <row r="30" spans="1:19" x14ac:dyDescent="0.3">
      <c r="A30" s="68"/>
      <c r="B30" s="61" t="str">
        <f>IFERROR(VLOOKUP($A30,InvDump[#All],MATCH(B$3,InvDump[#Headers],0),FALSE),"-")</f>
        <v>-</v>
      </c>
      <c r="C30" s="62" t="str">
        <f>IFERROR(VLOOKUP($A30,InvDump[#All],MATCH(C$3,InvDump[#Headers],0),FALSE),"-")</f>
        <v>-</v>
      </c>
      <c r="D30" s="61" t="str">
        <f>IFERROR(VLOOKUP($A30,InvDump[#All],MATCH(D$3,InvDump[#Headers],0),FALSE),"-")</f>
        <v>-</v>
      </c>
      <c r="E30" s="61" t="str">
        <f>IFERROR(VLOOKUP($A30,InvDump[#All],MATCH(E$3,InvDump[#Headers],0),FALSE),"-")</f>
        <v>-</v>
      </c>
      <c r="F30" s="61" t="str">
        <f>IFERROR(VLOOKUP($A30,InvDump[#All],MATCH(F$3,InvDump[#Headers],0),FALSE),"-")</f>
        <v>-</v>
      </c>
      <c r="G30" s="61" t="str">
        <f>IFERROR(VLOOKUP($A30,InvDump[#All],MATCH(G$3,InvDump[#Headers],0),FALSE),"-")</f>
        <v>-</v>
      </c>
      <c r="H30" s="63" t="str">
        <f>IFERROR(VLOOKUP(G30,CustomerData!$B$4:$D$13,3),"-")</f>
        <v>-</v>
      </c>
      <c r="I30" s="61" t="str">
        <f>IFERROR(VLOOKUP($A30,InvDump[#All],MATCH(I$3,InvDump[#Headers],0),FALSE),"-")</f>
        <v>-</v>
      </c>
      <c r="J30" s="61" t="str">
        <f>IFERROR(VLOOKUP($A30,InvDump[#All],MATCH(J$3,InvDump[#Headers],0),FALSE),"-")</f>
        <v>-</v>
      </c>
      <c r="K30" s="61" t="str">
        <f>IFERROR(VLOOKUP($A30,InvDump[#All],MATCH(K$3,InvDump[#Headers],0),FALSE),"-")</f>
        <v>-</v>
      </c>
      <c r="L30" s="64" t="str">
        <f>IFERROR(VLOOKUP($A30,InvDump[#All],MATCH(L$3,InvDump[#Headers],0),FALSE),"-")</f>
        <v>-</v>
      </c>
      <c r="M30" s="64" t="str">
        <f>IFERROR(VLOOKUP($A30,InvDump[#All],MATCH(M$3,InvDump[#Headers],0),FALSE),"-")</f>
        <v>-</v>
      </c>
      <c r="N30" s="64" t="str">
        <f>IFERROR(VLOOKUP($A30,InvDump[#All],MATCH(N$3,InvDump[#Headers],0),FALSE),"-")</f>
        <v>-</v>
      </c>
      <c r="O30" s="64" t="str">
        <f>IFERROR(VLOOKUP($A30,InvDump[#All],MATCH(O$3,InvDump[#Headers],0),FALSE),"-")</f>
        <v>-</v>
      </c>
      <c r="P30" s="67" t="str">
        <f>IFERROR(VLOOKUP($A30,InvDump[#All],MATCH(P$3,InvDump[#Headers],0),FALSE),"")</f>
        <v/>
      </c>
      <c r="Q30" s="65" t="str">
        <f>IFERROR(VLOOKUP($A30,InvDump[#All],MATCH(Q$3,InvDump[#Headers],0),FALSE),"")</f>
        <v/>
      </c>
      <c r="R30" s="65" t="str">
        <f>IFERROR(IF(VLOOKUP($A30,InvDump[#All],MATCH(R$3,InvDump[#Headers],0),FALSE)=0,"",VLOOKUP($A30,InvDump[#All],MATCH(R$3,InvDump[#Headers],0),FALSE)),"")</f>
        <v/>
      </c>
      <c r="S30" s="66" t="str">
        <f>IFERROR(IF(InvDump[[#This Row],[Annexure]]="Yes",VLOOKUP($A30,InvDump[#All],20,FALSE)&amp;"; "&amp;VLOOKUP($A30,InvDump[#All],22,FALSE),VLOOKUP($A30,InvDump[#All],20,FALSE)),"")</f>
        <v/>
      </c>
    </row>
    <row r="31" spans="1:19" x14ac:dyDescent="0.3">
      <c r="A31" s="68"/>
      <c r="B31" s="61" t="str">
        <f>IFERROR(VLOOKUP($A31,InvDump[#All],MATCH(B$3,InvDump[#Headers],0),FALSE),"-")</f>
        <v>-</v>
      </c>
      <c r="C31" s="62" t="str">
        <f>IFERROR(VLOOKUP($A31,InvDump[#All],MATCH(C$3,InvDump[#Headers],0),FALSE),"-")</f>
        <v>-</v>
      </c>
      <c r="D31" s="61" t="str">
        <f>IFERROR(VLOOKUP($A31,InvDump[#All],MATCH(D$3,InvDump[#Headers],0),FALSE),"-")</f>
        <v>-</v>
      </c>
      <c r="E31" s="61" t="str">
        <f>IFERROR(VLOOKUP($A31,InvDump[#All],MATCH(E$3,InvDump[#Headers],0),FALSE),"-")</f>
        <v>-</v>
      </c>
      <c r="F31" s="61" t="str">
        <f>IFERROR(VLOOKUP($A31,InvDump[#All],MATCH(F$3,InvDump[#Headers],0),FALSE),"-")</f>
        <v>-</v>
      </c>
      <c r="G31" s="61" t="str">
        <f>IFERROR(VLOOKUP($A31,InvDump[#All],MATCH(G$3,InvDump[#Headers],0),FALSE),"-")</f>
        <v>-</v>
      </c>
      <c r="H31" s="63" t="str">
        <f>IFERROR(VLOOKUP(G31,CustomerData!$B$4:$D$13,3),"-")</f>
        <v>-</v>
      </c>
      <c r="I31" s="61" t="str">
        <f>IFERROR(VLOOKUP($A31,InvDump[#All],MATCH(I$3,InvDump[#Headers],0),FALSE),"-")</f>
        <v>-</v>
      </c>
      <c r="J31" s="61" t="str">
        <f>IFERROR(VLOOKUP($A31,InvDump[#All],MATCH(J$3,InvDump[#Headers],0),FALSE),"-")</f>
        <v>-</v>
      </c>
      <c r="K31" s="61" t="str">
        <f>IFERROR(VLOOKUP($A31,InvDump[#All],MATCH(K$3,InvDump[#Headers],0),FALSE),"-")</f>
        <v>-</v>
      </c>
      <c r="L31" s="64" t="str">
        <f>IFERROR(VLOOKUP($A31,InvDump[#All],MATCH(L$3,InvDump[#Headers],0),FALSE),"-")</f>
        <v>-</v>
      </c>
      <c r="M31" s="64" t="str">
        <f>IFERROR(VLOOKUP($A31,InvDump[#All],MATCH(M$3,InvDump[#Headers],0),FALSE),"-")</f>
        <v>-</v>
      </c>
      <c r="N31" s="64" t="str">
        <f>IFERROR(VLOOKUP($A31,InvDump[#All],MATCH(N$3,InvDump[#Headers],0),FALSE),"-")</f>
        <v>-</v>
      </c>
      <c r="O31" s="64" t="str">
        <f>IFERROR(VLOOKUP($A31,InvDump[#All],MATCH(O$3,InvDump[#Headers],0),FALSE),"-")</f>
        <v>-</v>
      </c>
      <c r="P31" s="67" t="str">
        <f>IFERROR(VLOOKUP($A31,InvDump[#All],MATCH(P$3,InvDump[#Headers],0),FALSE),"")</f>
        <v/>
      </c>
      <c r="Q31" s="65" t="str">
        <f>IFERROR(VLOOKUP($A31,InvDump[#All],MATCH(Q$3,InvDump[#Headers],0),FALSE),"")</f>
        <v/>
      </c>
      <c r="R31" s="65" t="str">
        <f>IFERROR(IF(VLOOKUP($A31,InvDump[#All],MATCH(R$3,InvDump[#Headers],0),FALSE)=0,"",VLOOKUP($A31,InvDump[#All],MATCH(R$3,InvDump[#Headers],0),FALSE)),"")</f>
        <v/>
      </c>
      <c r="S31" s="66" t="str">
        <f>IFERROR(IF(InvDump[[#This Row],[Annexure]]="Yes",VLOOKUP($A31,InvDump[#All],20,FALSE)&amp;"; "&amp;VLOOKUP($A31,InvDump[#All],22,FALSE),VLOOKUP($A31,InvDump[#All],20,FALSE)),"")</f>
        <v/>
      </c>
    </row>
    <row r="32" spans="1:19" x14ac:dyDescent="0.3">
      <c r="A32" s="68"/>
      <c r="B32" s="61" t="str">
        <f>IFERROR(VLOOKUP($A32,InvDump[#All],MATCH(B$3,InvDump[#Headers],0),FALSE),"-")</f>
        <v>-</v>
      </c>
      <c r="C32" s="62" t="str">
        <f>IFERROR(VLOOKUP($A32,InvDump[#All],MATCH(C$3,InvDump[#Headers],0),FALSE),"-")</f>
        <v>-</v>
      </c>
      <c r="D32" s="61" t="str">
        <f>IFERROR(VLOOKUP($A32,InvDump[#All],MATCH(D$3,InvDump[#Headers],0),FALSE),"-")</f>
        <v>-</v>
      </c>
      <c r="E32" s="61" t="str">
        <f>IFERROR(VLOOKUP($A32,InvDump[#All],MATCH(E$3,InvDump[#Headers],0),FALSE),"-")</f>
        <v>-</v>
      </c>
      <c r="F32" s="61" t="str">
        <f>IFERROR(VLOOKUP($A32,InvDump[#All],MATCH(F$3,InvDump[#Headers],0),FALSE),"-")</f>
        <v>-</v>
      </c>
      <c r="G32" s="61" t="str">
        <f>IFERROR(VLOOKUP($A32,InvDump[#All],MATCH(G$3,InvDump[#Headers],0),FALSE),"-")</f>
        <v>-</v>
      </c>
      <c r="H32" s="63" t="str">
        <f>IFERROR(VLOOKUP(G32,CustomerData!$B$4:$D$13,3),"-")</f>
        <v>-</v>
      </c>
      <c r="I32" s="61" t="str">
        <f>IFERROR(VLOOKUP($A32,InvDump[#All],MATCH(I$3,InvDump[#Headers],0),FALSE),"-")</f>
        <v>-</v>
      </c>
      <c r="J32" s="61" t="str">
        <f>IFERROR(VLOOKUP($A32,InvDump[#All],MATCH(J$3,InvDump[#Headers],0),FALSE),"-")</f>
        <v>-</v>
      </c>
      <c r="K32" s="61" t="str">
        <f>IFERROR(VLOOKUP($A32,InvDump[#All],MATCH(K$3,InvDump[#Headers],0),FALSE),"-")</f>
        <v>-</v>
      </c>
      <c r="L32" s="64" t="str">
        <f>IFERROR(VLOOKUP($A32,InvDump[#All],MATCH(L$3,InvDump[#Headers],0),FALSE),"-")</f>
        <v>-</v>
      </c>
      <c r="M32" s="64" t="str">
        <f>IFERROR(VLOOKUP($A32,InvDump[#All],MATCH(M$3,InvDump[#Headers],0),FALSE),"-")</f>
        <v>-</v>
      </c>
      <c r="N32" s="64" t="str">
        <f>IFERROR(VLOOKUP($A32,InvDump[#All],MATCH(N$3,InvDump[#Headers],0),FALSE),"-")</f>
        <v>-</v>
      </c>
      <c r="O32" s="64" t="str">
        <f>IFERROR(VLOOKUP($A32,InvDump[#All],MATCH(O$3,InvDump[#Headers],0),FALSE),"-")</f>
        <v>-</v>
      </c>
      <c r="P32" s="67" t="str">
        <f>IFERROR(VLOOKUP($A32,InvDump[#All],MATCH(P$3,InvDump[#Headers],0),FALSE),"")</f>
        <v/>
      </c>
      <c r="Q32" s="65" t="str">
        <f>IFERROR(VLOOKUP($A32,InvDump[#All],MATCH(Q$3,InvDump[#Headers],0),FALSE),"")</f>
        <v/>
      </c>
      <c r="R32" s="65" t="str">
        <f>IFERROR(IF(VLOOKUP($A32,InvDump[#All],MATCH(R$3,InvDump[#Headers],0),FALSE)=0,"",VLOOKUP($A32,InvDump[#All],MATCH(R$3,InvDump[#Headers],0),FALSE)),"")</f>
        <v/>
      </c>
      <c r="S32" s="66" t="str">
        <f>IFERROR(IF(InvDump[[#This Row],[Annexure]]="Yes",VLOOKUP($A32,InvDump[#All],20,FALSE)&amp;"; "&amp;VLOOKUP($A32,InvDump[#All],22,FALSE),VLOOKUP($A32,InvDump[#All],20,FALSE)),"")</f>
        <v/>
      </c>
    </row>
    <row r="33" spans="1:19" x14ac:dyDescent="0.3">
      <c r="A33" s="68"/>
      <c r="B33" s="61" t="str">
        <f>IFERROR(VLOOKUP($A33,InvDump[#All],MATCH(B$3,InvDump[#Headers],0),FALSE),"-")</f>
        <v>-</v>
      </c>
      <c r="C33" s="62" t="str">
        <f>IFERROR(VLOOKUP($A33,InvDump[#All],MATCH(C$3,InvDump[#Headers],0),FALSE),"-")</f>
        <v>-</v>
      </c>
      <c r="D33" s="61" t="str">
        <f>IFERROR(VLOOKUP($A33,InvDump[#All],MATCH(D$3,InvDump[#Headers],0),FALSE),"-")</f>
        <v>-</v>
      </c>
      <c r="E33" s="61" t="str">
        <f>IFERROR(VLOOKUP($A33,InvDump[#All],MATCH(E$3,InvDump[#Headers],0),FALSE),"-")</f>
        <v>-</v>
      </c>
      <c r="F33" s="61" t="str">
        <f>IFERROR(VLOOKUP($A33,InvDump[#All],MATCH(F$3,InvDump[#Headers],0),FALSE),"-")</f>
        <v>-</v>
      </c>
      <c r="G33" s="61" t="str">
        <f>IFERROR(VLOOKUP($A33,InvDump[#All],MATCH(G$3,InvDump[#Headers],0),FALSE),"-")</f>
        <v>-</v>
      </c>
      <c r="H33" s="63" t="str">
        <f>IFERROR(VLOOKUP(G33,CustomerData!$B$4:$D$13,3),"-")</f>
        <v>-</v>
      </c>
      <c r="I33" s="61" t="str">
        <f>IFERROR(VLOOKUP($A33,InvDump[#All],MATCH(I$3,InvDump[#Headers],0),FALSE),"-")</f>
        <v>-</v>
      </c>
      <c r="J33" s="61" t="str">
        <f>IFERROR(VLOOKUP($A33,InvDump[#All],MATCH(J$3,InvDump[#Headers],0),FALSE),"-")</f>
        <v>-</v>
      </c>
      <c r="K33" s="61" t="str">
        <f>IFERROR(VLOOKUP($A33,InvDump[#All],MATCH(K$3,InvDump[#Headers],0),FALSE),"-")</f>
        <v>-</v>
      </c>
      <c r="L33" s="64" t="str">
        <f>IFERROR(VLOOKUP($A33,InvDump[#All],MATCH(L$3,InvDump[#Headers],0),FALSE),"-")</f>
        <v>-</v>
      </c>
      <c r="M33" s="64" t="str">
        <f>IFERROR(VLOOKUP($A33,InvDump[#All],MATCH(M$3,InvDump[#Headers],0),FALSE),"-")</f>
        <v>-</v>
      </c>
      <c r="N33" s="64" t="str">
        <f>IFERROR(VLOOKUP($A33,InvDump[#All],MATCH(N$3,InvDump[#Headers],0),FALSE),"-")</f>
        <v>-</v>
      </c>
      <c r="O33" s="64" t="str">
        <f>IFERROR(VLOOKUP($A33,InvDump[#All],MATCH(O$3,InvDump[#Headers],0),FALSE),"-")</f>
        <v>-</v>
      </c>
      <c r="P33" s="67" t="str">
        <f>IFERROR(VLOOKUP($A33,InvDump[#All],MATCH(P$3,InvDump[#Headers],0),FALSE),"")</f>
        <v/>
      </c>
      <c r="Q33" s="65" t="str">
        <f>IFERROR(VLOOKUP($A33,InvDump[#All],MATCH(Q$3,InvDump[#Headers],0),FALSE),"")</f>
        <v/>
      </c>
      <c r="R33" s="65" t="str">
        <f>IFERROR(IF(VLOOKUP($A33,InvDump[#All],MATCH(R$3,InvDump[#Headers],0),FALSE)=0,"",VLOOKUP($A33,InvDump[#All],MATCH(R$3,InvDump[#Headers],0),FALSE)),"")</f>
        <v/>
      </c>
      <c r="S33" s="66" t="str">
        <f>IFERROR(IF(InvDump[[#This Row],[Annexure]]="Yes",VLOOKUP($A33,InvDump[#All],20,FALSE)&amp;"; "&amp;VLOOKUP($A33,InvDump[#All],22,FALSE),VLOOKUP($A33,InvDump[#All],20,FALSE)),"")</f>
        <v/>
      </c>
    </row>
    <row r="34" spans="1:19" x14ac:dyDescent="0.3">
      <c r="A34" s="68"/>
      <c r="B34" s="61" t="str">
        <f>IFERROR(VLOOKUP($A34,InvDump[#All],MATCH(B$3,InvDump[#Headers],0),FALSE),"-")</f>
        <v>-</v>
      </c>
      <c r="C34" s="62" t="str">
        <f>IFERROR(VLOOKUP($A34,InvDump[#All],MATCH(C$3,InvDump[#Headers],0),FALSE),"-")</f>
        <v>-</v>
      </c>
      <c r="D34" s="61" t="str">
        <f>IFERROR(VLOOKUP($A34,InvDump[#All],MATCH(D$3,InvDump[#Headers],0),FALSE),"-")</f>
        <v>-</v>
      </c>
      <c r="E34" s="61" t="str">
        <f>IFERROR(VLOOKUP($A34,InvDump[#All],MATCH(E$3,InvDump[#Headers],0),FALSE),"-")</f>
        <v>-</v>
      </c>
      <c r="F34" s="61" t="str">
        <f>IFERROR(VLOOKUP($A34,InvDump[#All],MATCH(F$3,InvDump[#Headers],0),FALSE),"-")</f>
        <v>-</v>
      </c>
      <c r="G34" s="61" t="str">
        <f>IFERROR(VLOOKUP($A34,InvDump[#All],MATCH(G$3,InvDump[#Headers],0),FALSE),"-")</f>
        <v>-</v>
      </c>
      <c r="H34" s="63" t="str">
        <f>IFERROR(VLOOKUP(G34,CustomerData!$B$4:$D$13,3),"-")</f>
        <v>-</v>
      </c>
      <c r="I34" s="61" t="str">
        <f>IFERROR(VLOOKUP($A34,InvDump[#All],MATCH(I$3,InvDump[#Headers],0),FALSE),"-")</f>
        <v>-</v>
      </c>
      <c r="J34" s="61" t="str">
        <f>IFERROR(VLOOKUP($A34,InvDump[#All],MATCH(J$3,InvDump[#Headers],0),FALSE),"-")</f>
        <v>-</v>
      </c>
      <c r="K34" s="61" t="str">
        <f>IFERROR(VLOOKUP($A34,InvDump[#All],MATCH(K$3,InvDump[#Headers],0),FALSE),"-")</f>
        <v>-</v>
      </c>
      <c r="L34" s="64" t="str">
        <f>IFERROR(VLOOKUP($A34,InvDump[#All],MATCH(L$3,InvDump[#Headers],0),FALSE),"-")</f>
        <v>-</v>
      </c>
      <c r="M34" s="64" t="str">
        <f>IFERROR(VLOOKUP($A34,InvDump[#All],MATCH(M$3,InvDump[#Headers],0),FALSE),"-")</f>
        <v>-</v>
      </c>
      <c r="N34" s="64" t="str">
        <f>IFERROR(VLOOKUP($A34,InvDump[#All],MATCH(N$3,InvDump[#Headers],0),FALSE),"-")</f>
        <v>-</v>
      </c>
      <c r="O34" s="64" t="str">
        <f>IFERROR(VLOOKUP($A34,InvDump[#All],MATCH(O$3,InvDump[#Headers],0),FALSE),"-")</f>
        <v>-</v>
      </c>
      <c r="P34" s="67" t="str">
        <f>IFERROR(VLOOKUP($A34,InvDump[#All],MATCH(P$3,InvDump[#Headers],0),FALSE),"")</f>
        <v/>
      </c>
      <c r="Q34" s="65" t="str">
        <f>IFERROR(VLOOKUP($A34,InvDump[#All],MATCH(Q$3,InvDump[#Headers],0),FALSE),"")</f>
        <v/>
      </c>
      <c r="R34" s="65" t="str">
        <f>IFERROR(IF(VLOOKUP($A34,InvDump[#All],MATCH(R$3,InvDump[#Headers],0),FALSE)=0,"",VLOOKUP($A34,InvDump[#All],MATCH(R$3,InvDump[#Headers],0),FALSE)),"")</f>
        <v/>
      </c>
      <c r="S34" s="66" t="str">
        <f>IFERROR(IF(InvDump[[#This Row],[Annexure]]="Yes",VLOOKUP($A34,InvDump[#All],20,FALSE)&amp;"; "&amp;VLOOKUP($A34,InvDump[#All],22,FALSE),VLOOKUP($A34,InvDump[#All],20,FALSE)),"")</f>
        <v/>
      </c>
    </row>
    <row r="35" spans="1:19" x14ac:dyDescent="0.3">
      <c r="A35" s="68"/>
      <c r="B35" s="61" t="str">
        <f>IFERROR(VLOOKUP($A35,InvDump[#All],MATCH(B$3,InvDump[#Headers],0),FALSE),"-")</f>
        <v>-</v>
      </c>
      <c r="C35" s="62" t="str">
        <f>IFERROR(VLOOKUP($A35,InvDump[#All],MATCH(C$3,InvDump[#Headers],0),FALSE),"-")</f>
        <v>-</v>
      </c>
      <c r="D35" s="61" t="str">
        <f>IFERROR(VLOOKUP($A35,InvDump[#All],MATCH(D$3,InvDump[#Headers],0),FALSE),"-")</f>
        <v>-</v>
      </c>
      <c r="E35" s="61" t="str">
        <f>IFERROR(VLOOKUP($A35,InvDump[#All],MATCH(E$3,InvDump[#Headers],0),FALSE),"-")</f>
        <v>-</v>
      </c>
      <c r="F35" s="61" t="str">
        <f>IFERROR(VLOOKUP($A35,InvDump[#All],MATCH(F$3,InvDump[#Headers],0),FALSE),"-")</f>
        <v>-</v>
      </c>
      <c r="G35" s="61" t="str">
        <f>IFERROR(VLOOKUP($A35,InvDump[#All],MATCH(G$3,InvDump[#Headers],0),FALSE),"-")</f>
        <v>-</v>
      </c>
      <c r="H35" s="63" t="str">
        <f>IFERROR(VLOOKUP(G35,CustomerData!$B$4:$D$13,3),"-")</f>
        <v>-</v>
      </c>
      <c r="I35" s="61" t="str">
        <f>IFERROR(VLOOKUP($A35,InvDump[#All],MATCH(I$3,InvDump[#Headers],0),FALSE),"-")</f>
        <v>-</v>
      </c>
      <c r="J35" s="61" t="str">
        <f>IFERROR(VLOOKUP($A35,InvDump[#All],MATCH(J$3,InvDump[#Headers],0),FALSE),"-")</f>
        <v>-</v>
      </c>
      <c r="K35" s="61" t="str">
        <f>IFERROR(VLOOKUP($A35,InvDump[#All],MATCH(K$3,InvDump[#Headers],0),FALSE),"-")</f>
        <v>-</v>
      </c>
      <c r="L35" s="64" t="str">
        <f>IFERROR(VLOOKUP($A35,InvDump[#All],MATCH(L$3,InvDump[#Headers],0),FALSE),"-")</f>
        <v>-</v>
      </c>
      <c r="M35" s="64" t="str">
        <f>IFERROR(VLOOKUP($A35,InvDump[#All],MATCH(M$3,InvDump[#Headers],0),FALSE),"-")</f>
        <v>-</v>
      </c>
      <c r="N35" s="64" t="str">
        <f>IFERROR(VLOOKUP($A35,InvDump[#All],MATCH(N$3,InvDump[#Headers],0),FALSE),"-")</f>
        <v>-</v>
      </c>
      <c r="O35" s="64" t="str">
        <f>IFERROR(VLOOKUP($A35,InvDump[#All],MATCH(O$3,InvDump[#Headers],0),FALSE),"-")</f>
        <v>-</v>
      </c>
      <c r="P35" s="67" t="str">
        <f>IFERROR(VLOOKUP($A35,InvDump[#All],MATCH(P$3,InvDump[#Headers],0),FALSE),"")</f>
        <v/>
      </c>
      <c r="Q35" s="65" t="str">
        <f>IFERROR(VLOOKUP($A35,InvDump[#All],MATCH(Q$3,InvDump[#Headers],0),FALSE),"")</f>
        <v/>
      </c>
      <c r="R35" s="65" t="str">
        <f>IFERROR(IF(VLOOKUP($A35,InvDump[#All],MATCH(R$3,InvDump[#Headers],0),FALSE)=0,"",VLOOKUP($A35,InvDump[#All],MATCH(R$3,InvDump[#Headers],0),FALSE)),"")</f>
        <v/>
      </c>
      <c r="S35" s="66" t="str">
        <f>IFERROR(IF(InvDump[[#This Row],[Annexure]]="Yes",VLOOKUP($A35,InvDump[#All],20,FALSE)&amp;"; "&amp;VLOOKUP($A35,InvDump[#All],22,FALSE),VLOOKUP($A35,InvDump[#All],20,FALSE)),"")</f>
        <v/>
      </c>
    </row>
    <row r="36" spans="1:19" x14ac:dyDescent="0.3">
      <c r="A36" s="68"/>
      <c r="B36" s="61" t="str">
        <f>IFERROR(VLOOKUP($A36,InvDump[#All],MATCH(B$3,InvDump[#Headers],0),FALSE),"-")</f>
        <v>-</v>
      </c>
      <c r="C36" s="62" t="str">
        <f>IFERROR(VLOOKUP($A36,InvDump[#All],MATCH(C$3,InvDump[#Headers],0),FALSE),"-")</f>
        <v>-</v>
      </c>
      <c r="D36" s="61" t="str">
        <f>IFERROR(VLOOKUP($A36,InvDump[#All],MATCH(D$3,InvDump[#Headers],0),FALSE),"-")</f>
        <v>-</v>
      </c>
      <c r="E36" s="61" t="str">
        <f>IFERROR(VLOOKUP($A36,InvDump[#All],MATCH(E$3,InvDump[#Headers],0),FALSE),"-")</f>
        <v>-</v>
      </c>
      <c r="F36" s="61" t="str">
        <f>IFERROR(VLOOKUP($A36,InvDump[#All],MATCH(F$3,InvDump[#Headers],0),FALSE),"-")</f>
        <v>-</v>
      </c>
      <c r="G36" s="61" t="str">
        <f>IFERROR(VLOOKUP($A36,InvDump[#All],MATCH(G$3,InvDump[#Headers],0),FALSE),"-")</f>
        <v>-</v>
      </c>
      <c r="H36" s="63" t="str">
        <f>IFERROR(VLOOKUP(G36,CustomerData!$B$4:$D$13,3),"-")</f>
        <v>-</v>
      </c>
      <c r="I36" s="61" t="str">
        <f>IFERROR(VLOOKUP($A36,InvDump[#All],MATCH(I$3,InvDump[#Headers],0),FALSE),"-")</f>
        <v>-</v>
      </c>
      <c r="J36" s="61" t="str">
        <f>IFERROR(VLOOKUP($A36,InvDump[#All],MATCH(J$3,InvDump[#Headers],0),FALSE),"-")</f>
        <v>-</v>
      </c>
      <c r="K36" s="61" t="str">
        <f>IFERROR(VLOOKUP($A36,InvDump[#All],MATCH(K$3,InvDump[#Headers],0),FALSE),"-")</f>
        <v>-</v>
      </c>
      <c r="L36" s="64" t="str">
        <f>IFERROR(VLOOKUP($A36,InvDump[#All],MATCH(L$3,InvDump[#Headers],0),FALSE),"-")</f>
        <v>-</v>
      </c>
      <c r="M36" s="64" t="str">
        <f>IFERROR(VLOOKUP($A36,InvDump[#All],MATCH(M$3,InvDump[#Headers],0),FALSE),"-")</f>
        <v>-</v>
      </c>
      <c r="N36" s="64" t="str">
        <f>IFERROR(VLOOKUP($A36,InvDump[#All],MATCH(N$3,InvDump[#Headers],0),FALSE),"-")</f>
        <v>-</v>
      </c>
      <c r="O36" s="64" t="str">
        <f>IFERROR(VLOOKUP($A36,InvDump[#All],MATCH(O$3,InvDump[#Headers],0),FALSE),"-")</f>
        <v>-</v>
      </c>
      <c r="P36" s="67" t="str">
        <f>IFERROR(VLOOKUP($A36,InvDump[#All],MATCH(P$3,InvDump[#Headers],0),FALSE),"")</f>
        <v/>
      </c>
      <c r="Q36" s="65" t="str">
        <f>IFERROR(VLOOKUP($A36,InvDump[#All],MATCH(Q$3,InvDump[#Headers],0),FALSE),"")</f>
        <v/>
      </c>
      <c r="R36" s="65" t="str">
        <f>IFERROR(IF(VLOOKUP($A36,InvDump[#All],MATCH(R$3,InvDump[#Headers],0),FALSE)=0,"",VLOOKUP($A36,InvDump[#All],MATCH(R$3,InvDump[#Headers],0),FALSE)),"")</f>
        <v/>
      </c>
      <c r="S36" s="66" t="str">
        <f>IFERROR(IF(InvDump[[#This Row],[Annexure]]="Yes",VLOOKUP($A36,InvDump[#All],20,FALSE)&amp;"; "&amp;VLOOKUP($A36,InvDump[#All],22,FALSE),VLOOKUP($A36,InvDump[#All],20,FALSE)),"")</f>
        <v/>
      </c>
    </row>
    <row r="37" spans="1:19" x14ac:dyDescent="0.3">
      <c r="A37" s="68"/>
      <c r="B37" s="61" t="str">
        <f>IFERROR(VLOOKUP($A37,InvDump[#All],MATCH(B$3,InvDump[#Headers],0),FALSE),"-")</f>
        <v>-</v>
      </c>
      <c r="C37" s="62" t="str">
        <f>IFERROR(VLOOKUP($A37,InvDump[#All],MATCH(C$3,InvDump[#Headers],0),FALSE),"-")</f>
        <v>-</v>
      </c>
      <c r="D37" s="61" t="str">
        <f>IFERROR(VLOOKUP($A37,InvDump[#All],MATCH(D$3,InvDump[#Headers],0),FALSE),"-")</f>
        <v>-</v>
      </c>
      <c r="E37" s="61" t="str">
        <f>IFERROR(VLOOKUP($A37,InvDump[#All],MATCH(E$3,InvDump[#Headers],0),FALSE),"-")</f>
        <v>-</v>
      </c>
      <c r="F37" s="61" t="str">
        <f>IFERROR(VLOOKUP($A37,InvDump[#All],MATCH(F$3,InvDump[#Headers],0),FALSE),"-")</f>
        <v>-</v>
      </c>
      <c r="G37" s="61" t="str">
        <f>IFERROR(VLOOKUP($A37,InvDump[#All],MATCH(G$3,InvDump[#Headers],0),FALSE),"-")</f>
        <v>-</v>
      </c>
      <c r="H37" s="63" t="str">
        <f>IFERROR(VLOOKUP(G37,CustomerData!$B$4:$D$13,3),"-")</f>
        <v>-</v>
      </c>
      <c r="I37" s="61" t="str">
        <f>IFERROR(VLOOKUP($A37,InvDump[#All],MATCH(I$3,InvDump[#Headers],0),FALSE),"-")</f>
        <v>-</v>
      </c>
      <c r="J37" s="61" t="str">
        <f>IFERROR(VLOOKUP($A37,InvDump[#All],MATCH(J$3,InvDump[#Headers],0),FALSE),"-")</f>
        <v>-</v>
      </c>
      <c r="K37" s="61" t="str">
        <f>IFERROR(VLOOKUP($A37,InvDump[#All],MATCH(K$3,InvDump[#Headers],0),FALSE),"-")</f>
        <v>-</v>
      </c>
      <c r="L37" s="64" t="str">
        <f>IFERROR(VLOOKUP($A37,InvDump[#All],MATCH(L$3,InvDump[#Headers],0),FALSE),"-")</f>
        <v>-</v>
      </c>
      <c r="M37" s="64" t="str">
        <f>IFERROR(VLOOKUP($A37,InvDump[#All],MATCH(M$3,InvDump[#Headers],0),FALSE),"-")</f>
        <v>-</v>
      </c>
      <c r="N37" s="64" t="str">
        <f>IFERROR(VLOOKUP($A37,InvDump[#All],MATCH(N$3,InvDump[#Headers],0),FALSE),"-")</f>
        <v>-</v>
      </c>
      <c r="O37" s="64" t="str">
        <f>IFERROR(VLOOKUP($A37,InvDump[#All],MATCH(O$3,InvDump[#Headers],0),FALSE),"-")</f>
        <v>-</v>
      </c>
      <c r="P37" s="67" t="str">
        <f>IFERROR(VLOOKUP($A37,InvDump[#All],MATCH(P$3,InvDump[#Headers],0),FALSE),"")</f>
        <v/>
      </c>
      <c r="Q37" s="65" t="str">
        <f>IFERROR(VLOOKUP($A37,InvDump[#All],MATCH(Q$3,InvDump[#Headers],0),FALSE),"")</f>
        <v/>
      </c>
      <c r="R37" s="65" t="str">
        <f>IFERROR(IF(VLOOKUP($A37,InvDump[#All],MATCH(R$3,InvDump[#Headers],0),FALSE)=0,"",VLOOKUP($A37,InvDump[#All],MATCH(R$3,InvDump[#Headers],0),FALSE)),"")</f>
        <v/>
      </c>
      <c r="S37" s="66" t="str">
        <f>IFERROR(IF(InvDump[[#This Row],[Annexure]]="Yes",VLOOKUP($A37,InvDump[#All],20,FALSE)&amp;"; "&amp;VLOOKUP($A37,InvDump[#All],22,FALSE),VLOOKUP($A37,InvDump[#All],20,FALSE)),"")</f>
        <v/>
      </c>
    </row>
    <row r="38" spans="1:19" x14ac:dyDescent="0.3">
      <c r="A38" s="68"/>
      <c r="B38" s="61" t="str">
        <f>IFERROR(VLOOKUP($A38,InvDump[#All],MATCH(B$3,InvDump[#Headers],0),FALSE),"-")</f>
        <v>-</v>
      </c>
      <c r="C38" s="62" t="str">
        <f>IFERROR(VLOOKUP($A38,InvDump[#All],MATCH(C$3,InvDump[#Headers],0),FALSE),"-")</f>
        <v>-</v>
      </c>
      <c r="D38" s="61" t="str">
        <f>IFERROR(VLOOKUP($A38,InvDump[#All],MATCH(D$3,InvDump[#Headers],0),FALSE),"-")</f>
        <v>-</v>
      </c>
      <c r="E38" s="61" t="str">
        <f>IFERROR(VLOOKUP($A38,InvDump[#All],MATCH(E$3,InvDump[#Headers],0),FALSE),"-")</f>
        <v>-</v>
      </c>
      <c r="F38" s="61" t="str">
        <f>IFERROR(VLOOKUP($A38,InvDump[#All],MATCH(F$3,InvDump[#Headers],0),FALSE),"-")</f>
        <v>-</v>
      </c>
      <c r="G38" s="61" t="str">
        <f>IFERROR(VLOOKUP($A38,InvDump[#All],MATCH(G$3,InvDump[#Headers],0),FALSE),"-")</f>
        <v>-</v>
      </c>
      <c r="H38" s="63" t="str">
        <f>IFERROR(VLOOKUP(G38,CustomerData!$B$4:$D$13,3),"-")</f>
        <v>-</v>
      </c>
      <c r="I38" s="61" t="str">
        <f>IFERROR(VLOOKUP($A38,InvDump[#All],MATCH(I$3,InvDump[#Headers],0),FALSE),"-")</f>
        <v>-</v>
      </c>
      <c r="J38" s="61" t="str">
        <f>IFERROR(VLOOKUP($A38,InvDump[#All],MATCH(J$3,InvDump[#Headers],0),FALSE),"-")</f>
        <v>-</v>
      </c>
      <c r="K38" s="61" t="str">
        <f>IFERROR(VLOOKUP($A38,InvDump[#All],MATCH(K$3,InvDump[#Headers],0),FALSE),"-")</f>
        <v>-</v>
      </c>
      <c r="L38" s="64" t="str">
        <f>IFERROR(VLOOKUP($A38,InvDump[#All],MATCH(L$3,InvDump[#Headers],0),FALSE),"-")</f>
        <v>-</v>
      </c>
      <c r="M38" s="64" t="str">
        <f>IFERROR(VLOOKUP($A38,InvDump[#All],MATCH(M$3,InvDump[#Headers],0),FALSE),"-")</f>
        <v>-</v>
      </c>
      <c r="N38" s="64" t="str">
        <f>IFERROR(VLOOKUP($A38,InvDump[#All],MATCH(N$3,InvDump[#Headers],0),FALSE),"-")</f>
        <v>-</v>
      </c>
      <c r="O38" s="64" t="str">
        <f>IFERROR(VLOOKUP($A38,InvDump[#All],MATCH(O$3,InvDump[#Headers],0),FALSE),"-")</f>
        <v>-</v>
      </c>
      <c r="P38" s="67" t="str">
        <f>IFERROR(VLOOKUP($A38,InvDump[#All],MATCH(P$3,InvDump[#Headers],0),FALSE),"")</f>
        <v/>
      </c>
      <c r="Q38" s="65" t="str">
        <f>IFERROR(VLOOKUP($A38,InvDump[#All],MATCH(Q$3,InvDump[#Headers],0),FALSE),"")</f>
        <v/>
      </c>
      <c r="R38" s="65" t="str">
        <f>IFERROR(IF(VLOOKUP($A38,InvDump[#All],MATCH(R$3,InvDump[#Headers],0),FALSE)=0,"",VLOOKUP($A38,InvDump[#All],MATCH(R$3,InvDump[#Headers],0),FALSE)),"")</f>
        <v/>
      </c>
      <c r="S38" s="66" t="str">
        <f>IFERROR(IF(InvDump[[#This Row],[Annexure]]="Yes",VLOOKUP($A38,InvDump[#All],20,FALSE)&amp;"; "&amp;VLOOKUP($A38,InvDump[#All],22,FALSE),VLOOKUP($A38,InvDump[#All],20,FALSE)),"")</f>
        <v/>
      </c>
    </row>
    <row r="39" spans="1:19" x14ac:dyDescent="0.3">
      <c r="A39" s="68"/>
      <c r="B39" s="61" t="str">
        <f>IFERROR(VLOOKUP($A39,InvDump[#All],MATCH(B$3,InvDump[#Headers],0),FALSE),"-")</f>
        <v>-</v>
      </c>
      <c r="C39" s="62" t="str">
        <f>IFERROR(VLOOKUP($A39,InvDump[#All],MATCH(C$3,InvDump[#Headers],0),FALSE),"-")</f>
        <v>-</v>
      </c>
      <c r="D39" s="61" t="str">
        <f>IFERROR(VLOOKUP($A39,InvDump[#All],MATCH(D$3,InvDump[#Headers],0),FALSE),"-")</f>
        <v>-</v>
      </c>
      <c r="E39" s="61" t="str">
        <f>IFERROR(VLOOKUP($A39,InvDump[#All],MATCH(E$3,InvDump[#Headers],0),FALSE),"-")</f>
        <v>-</v>
      </c>
      <c r="F39" s="61" t="str">
        <f>IFERROR(VLOOKUP($A39,InvDump[#All],MATCH(F$3,InvDump[#Headers],0),FALSE),"-")</f>
        <v>-</v>
      </c>
      <c r="G39" s="61" t="str">
        <f>IFERROR(VLOOKUP($A39,InvDump[#All],MATCH(G$3,InvDump[#Headers],0),FALSE),"-")</f>
        <v>-</v>
      </c>
      <c r="H39" s="63" t="str">
        <f>IFERROR(VLOOKUP(G39,CustomerData!$B$4:$D$13,3),"-")</f>
        <v>-</v>
      </c>
      <c r="I39" s="61" t="str">
        <f>IFERROR(VLOOKUP($A39,InvDump[#All],MATCH(I$3,InvDump[#Headers],0),FALSE),"-")</f>
        <v>-</v>
      </c>
      <c r="J39" s="61" t="str">
        <f>IFERROR(VLOOKUP($A39,InvDump[#All],MATCH(J$3,InvDump[#Headers],0),FALSE),"-")</f>
        <v>-</v>
      </c>
      <c r="K39" s="61" t="str">
        <f>IFERROR(VLOOKUP($A39,InvDump[#All],MATCH(K$3,InvDump[#Headers],0),FALSE),"-")</f>
        <v>-</v>
      </c>
      <c r="L39" s="64" t="str">
        <f>IFERROR(VLOOKUP($A39,InvDump[#All],MATCH(L$3,InvDump[#Headers],0),FALSE),"-")</f>
        <v>-</v>
      </c>
      <c r="M39" s="64" t="str">
        <f>IFERROR(VLOOKUP($A39,InvDump[#All],MATCH(M$3,InvDump[#Headers],0),FALSE),"-")</f>
        <v>-</v>
      </c>
      <c r="N39" s="64" t="str">
        <f>IFERROR(VLOOKUP($A39,InvDump[#All],MATCH(N$3,InvDump[#Headers],0),FALSE),"-")</f>
        <v>-</v>
      </c>
      <c r="O39" s="64" t="str">
        <f>IFERROR(VLOOKUP($A39,InvDump[#All],MATCH(O$3,InvDump[#Headers],0),FALSE),"-")</f>
        <v>-</v>
      </c>
      <c r="P39" s="67" t="str">
        <f>IFERROR(VLOOKUP($A39,InvDump[#All],MATCH(P$3,InvDump[#Headers],0),FALSE),"")</f>
        <v/>
      </c>
      <c r="Q39" s="65" t="str">
        <f>IFERROR(VLOOKUP($A39,InvDump[#All],MATCH(Q$3,InvDump[#Headers],0),FALSE),"")</f>
        <v/>
      </c>
      <c r="R39" s="65" t="str">
        <f>IFERROR(IF(VLOOKUP($A39,InvDump[#All],MATCH(R$3,InvDump[#Headers],0),FALSE)=0,"",VLOOKUP($A39,InvDump[#All],MATCH(R$3,InvDump[#Headers],0),FALSE)),"")</f>
        <v/>
      </c>
      <c r="S39" s="66" t="str">
        <f>IFERROR(IF(InvDump[[#This Row],[Annexure]]="Yes",VLOOKUP($A39,InvDump[#All],20,FALSE)&amp;"; "&amp;VLOOKUP($A39,InvDump[#All],22,FALSE),VLOOKUP($A39,InvDump[#All],20,FALSE)),"")</f>
        <v/>
      </c>
    </row>
    <row r="40" spans="1:19" x14ac:dyDescent="0.3">
      <c r="A40" s="68"/>
      <c r="B40" s="61" t="str">
        <f>IFERROR(VLOOKUP($A40,InvDump[#All],MATCH(B$3,InvDump[#Headers],0),FALSE),"-")</f>
        <v>-</v>
      </c>
      <c r="C40" s="62" t="str">
        <f>IFERROR(VLOOKUP($A40,InvDump[#All],MATCH(C$3,InvDump[#Headers],0),FALSE),"-")</f>
        <v>-</v>
      </c>
      <c r="D40" s="61" t="str">
        <f>IFERROR(VLOOKUP($A40,InvDump[#All],MATCH(D$3,InvDump[#Headers],0),FALSE),"-")</f>
        <v>-</v>
      </c>
      <c r="E40" s="61" t="str">
        <f>IFERROR(VLOOKUP($A40,InvDump[#All],MATCH(E$3,InvDump[#Headers],0),FALSE),"-")</f>
        <v>-</v>
      </c>
      <c r="F40" s="61" t="str">
        <f>IFERROR(VLOOKUP($A40,InvDump[#All],MATCH(F$3,InvDump[#Headers],0),FALSE),"-")</f>
        <v>-</v>
      </c>
      <c r="G40" s="61" t="str">
        <f>IFERROR(VLOOKUP($A40,InvDump[#All],MATCH(G$3,InvDump[#Headers],0),FALSE),"-")</f>
        <v>-</v>
      </c>
      <c r="H40" s="63" t="str">
        <f>IFERROR(VLOOKUP(G40,CustomerData!$B$4:$D$13,3),"-")</f>
        <v>-</v>
      </c>
      <c r="I40" s="61" t="str">
        <f>IFERROR(VLOOKUP($A40,InvDump[#All],MATCH(I$3,InvDump[#Headers],0),FALSE),"-")</f>
        <v>-</v>
      </c>
      <c r="J40" s="61" t="str">
        <f>IFERROR(VLOOKUP($A40,InvDump[#All],MATCH(J$3,InvDump[#Headers],0),FALSE),"-")</f>
        <v>-</v>
      </c>
      <c r="K40" s="61" t="str">
        <f>IFERROR(VLOOKUP($A40,InvDump[#All],MATCH(K$3,InvDump[#Headers],0),FALSE),"-")</f>
        <v>-</v>
      </c>
      <c r="L40" s="64" t="str">
        <f>IFERROR(VLOOKUP($A40,InvDump[#All],MATCH(L$3,InvDump[#Headers],0),FALSE),"-")</f>
        <v>-</v>
      </c>
      <c r="M40" s="64" t="str">
        <f>IFERROR(VLOOKUP($A40,InvDump[#All],MATCH(M$3,InvDump[#Headers],0),FALSE),"-")</f>
        <v>-</v>
      </c>
      <c r="N40" s="64" t="str">
        <f>IFERROR(VLOOKUP($A40,InvDump[#All],MATCH(N$3,InvDump[#Headers],0),FALSE),"-")</f>
        <v>-</v>
      </c>
      <c r="O40" s="64" t="str">
        <f>IFERROR(VLOOKUP($A40,InvDump[#All],MATCH(O$3,InvDump[#Headers],0),FALSE),"-")</f>
        <v>-</v>
      </c>
      <c r="P40" s="67" t="str">
        <f>IFERROR(VLOOKUP($A40,InvDump[#All],MATCH(P$3,InvDump[#Headers],0),FALSE),"")</f>
        <v/>
      </c>
      <c r="Q40" s="65" t="str">
        <f>IFERROR(VLOOKUP($A40,InvDump[#All],MATCH(Q$3,InvDump[#Headers],0),FALSE),"")</f>
        <v/>
      </c>
      <c r="R40" s="65" t="str">
        <f>IFERROR(IF(VLOOKUP($A40,InvDump[#All],MATCH(R$3,InvDump[#Headers],0),FALSE)=0,"",VLOOKUP($A40,InvDump[#All],MATCH(R$3,InvDump[#Headers],0),FALSE)),"")</f>
        <v/>
      </c>
      <c r="S40" s="66" t="str">
        <f>IFERROR(IF(InvDump[[#This Row],[Annexure]]="Yes",VLOOKUP($A40,InvDump[#All],20,FALSE)&amp;"; "&amp;VLOOKUP($A40,InvDump[#All],22,FALSE),VLOOKUP($A40,InvDump[#All],20,FALSE)),"")</f>
        <v/>
      </c>
    </row>
    <row r="41" spans="1:19" x14ac:dyDescent="0.3">
      <c r="A41" s="68"/>
      <c r="B41" s="61" t="str">
        <f>IFERROR(VLOOKUP($A41,InvDump[#All],MATCH(B$3,InvDump[#Headers],0),FALSE),"-")</f>
        <v>-</v>
      </c>
      <c r="C41" s="62" t="str">
        <f>IFERROR(VLOOKUP($A41,InvDump[#All],MATCH(C$3,InvDump[#Headers],0),FALSE),"-")</f>
        <v>-</v>
      </c>
      <c r="D41" s="61" t="str">
        <f>IFERROR(VLOOKUP($A41,InvDump[#All],MATCH(D$3,InvDump[#Headers],0),FALSE),"-")</f>
        <v>-</v>
      </c>
      <c r="E41" s="61" t="str">
        <f>IFERROR(VLOOKUP($A41,InvDump[#All],MATCH(E$3,InvDump[#Headers],0),FALSE),"-")</f>
        <v>-</v>
      </c>
      <c r="F41" s="61" t="str">
        <f>IFERROR(VLOOKUP($A41,InvDump[#All],MATCH(F$3,InvDump[#Headers],0),FALSE),"-")</f>
        <v>-</v>
      </c>
      <c r="G41" s="61" t="str">
        <f>IFERROR(VLOOKUP($A41,InvDump[#All],MATCH(G$3,InvDump[#Headers],0),FALSE),"-")</f>
        <v>-</v>
      </c>
      <c r="H41" s="63" t="str">
        <f>IFERROR(VLOOKUP(G41,CustomerData!$B$4:$D$13,3),"-")</f>
        <v>-</v>
      </c>
      <c r="I41" s="61" t="str">
        <f>IFERROR(VLOOKUP($A41,InvDump[#All],MATCH(I$3,InvDump[#Headers],0),FALSE),"-")</f>
        <v>-</v>
      </c>
      <c r="J41" s="61" t="str">
        <f>IFERROR(VLOOKUP($A41,InvDump[#All],MATCH(J$3,InvDump[#Headers],0),FALSE),"-")</f>
        <v>-</v>
      </c>
      <c r="K41" s="61" t="str">
        <f>IFERROR(VLOOKUP($A41,InvDump[#All],MATCH(K$3,InvDump[#Headers],0),FALSE),"-")</f>
        <v>-</v>
      </c>
      <c r="L41" s="64" t="str">
        <f>IFERROR(VLOOKUP($A41,InvDump[#All],MATCH(L$3,InvDump[#Headers],0),FALSE),"-")</f>
        <v>-</v>
      </c>
      <c r="M41" s="64" t="str">
        <f>IFERROR(VLOOKUP($A41,InvDump[#All],MATCH(M$3,InvDump[#Headers],0),FALSE),"-")</f>
        <v>-</v>
      </c>
      <c r="N41" s="64" t="str">
        <f>IFERROR(VLOOKUP($A41,InvDump[#All],MATCH(N$3,InvDump[#Headers],0),FALSE),"-")</f>
        <v>-</v>
      </c>
      <c r="O41" s="64" t="str">
        <f>IFERROR(VLOOKUP($A41,InvDump[#All],MATCH(O$3,InvDump[#Headers],0),FALSE),"-")</f>
        <v>-</v>
      </c>
      <c r="P41" s="67" t="str">
        <f>IFERROR(VLOOKUP($A41,InvDump[#All],MATCH(P$3,InvDump[#Headers],0),FALSE),"")</f>
        <v/>
      </c>
      <c r="Q41" s="65" t="str">
        <f>IFERROR(VLOOKUP($A41,InvDump[#All],MATCH(Q$3,InvDump[#Headers],0),FALSE),"")</f>
        <v/>
      </c>
      <c r="R41" s="65" t="str">
        <f>IFERROR(IF(VLOOKUP($A41,InvDump[#All],MATCH(R$3,InvDump[#Headers],0),FALSE)=0,"",VLOOKUP($A41,InvDump[#All],MATCH(R$3,InvDump[#Headers],0),FALSE)),"")</f>
        <v/>
      </c>
      <c r="S41" s="66" t="str">
        <f>IFERROR(IF(InvDump[[#This Row],[Annexure]]="Yes",VLOOKUP($A41,InvDump[#All],20,FALSE)&amp;"; "&amp;VLOOKUP($A41,InvDump[#All],22,FALSE),VLOOKUP($A41,InvDump[#All],20,FALSE)),"")</f>
        <v/>
      </c>
    </row>
    <row r="42" spans="1:19" x14ac:dyDescent="0.3">
      <c r="A42" s="68"/>
      <c r="B42" s="61" t="str">
        <f>IFERROR(VLOOKUP($A42,InvDump[#All],MATCH(B$3,InvDump[#Headers],0),FALSE),"-")</f>
        <v>-</v>
      </c>
      <c r="C42" s="62" t="str">
        <f>IFERROR(VLOOKUP($A42,InvDump[#All],MATCH(C$3,InvDump[#Headers],0),FALSE),"-")</f>
        <v>-</v>
      </c>
      <c r="D42" s="61" t="str">
        <f>IFERROR(VLOOKUP($A42,InvDump[#All],MATCH(D$3,InvDump[#Headers],0),FALSE),"-")</f>
        <v>-</v>
      </c>
      <c r="E42" s="61" t="str">
        <f>IFERROR(VLOOKUP($A42,InvDump[#All],MATCH(E$3,InvDump[#Headers],0),FALSE),"-")</f>
        <v>-</v>
      </c>
      <c r="F42" s="61" t="str">
        <f>IFERROR(VLOOKUP($A42,InvDump[#All],MATCH(F$3,InvDump[#Headers],0),FALSE),"-")</f>
        <v>-</v>
      </c>
      <c r="G42" s="61" t="str">
        <f>IFERROR(VLOOKUP($A42,InvDump[#All],MATCH(G$3,InvDump[#Headers],0),FALSE),"-")</f>
        <v>-</v>
      </c>
      <c r="H42" s="63" t="str">
        <f>IFERROR(VLOOKUP(G42,CustomerData!$B$4:$D$13,3),"-")</f>
        <v>-</v>
      </c>
      <c r="I42" s="61" t="str">
        <f>IFERROR(VLOOKUP($A42,InvDump[#All],MATCH(I$3,InvDump[#Headers],0),FALSE),"-")</f>
        <v>-</v>
      </c>
      <c r="J42" s="61" t="str">
        <f>IFERROR(VLOOKUP($A42,InvDump[#All],MATCH(J$3,InvDump[#Headers],0),FALSE),"-")</f>
        <v>-</v>
      </c>
      <c r="K42" s="61" t="str">
        <f>IFERROR(VLOOKUP($A42,InvDump[#All],MATCH(K$3,InvDump[#Headers],0),FALSE),"-")</f>
        <v>-</v>
      </c>
      <c r="L42" s="64" t="str">
        <f>IFERROR(VLOOKUP($A42,InvDump[#All],MATCH(L$3,InvDump[#Headers],0),FALSE),"-")</f>
        <v>-</v>
      </c>
      <c r="M42" s="64" t="str">
        <f>IFERROR(VLOOKUP($A42,InvDump[#All],MATCH(M$3,InvDump[#Headers],0),FALSE),"-")</f>
        <v>-</v>
      </c>
      <c r="N42" s="64" t="str">
        <f>IFERROR(VLOOKUP($A42,InvDump[#All],MATCH(N$3,InvDump[#Headers],0),FALSE),"-")</f>
        <v>-</v>
      </c>
      <c r="O42" s="64" t="str">
        <f>IFERROR(VLOOKUP($A42,InvDump[#All],MATCH(O$3,InvDump[#Headers],0),FALSE),"-")</f>
        <v>-</v>
      </c>
      <c r="P42" s="67" t="str">
        <f>IFERROR(VLOOKUP($A42,InvDump[#All],MATCH(P$3,InvDump[#Headers],0),FALSE),"")</f>
        <v/>
      </c>
      <c r="Q42" s="65" t="str">
        <f>IFERROR(VLOOKUP($A42,InvDump[#All],MATCH(Q$3,InvDump[#Headers],0),FALSE),"")</f>
        <v/>
      </c>
      <c r="R42" s="65" t="str">
        <f>IFERROR(IF(VLOOKUP($A42,InvDump[#All],MATCH(R$3,InvDump[#Headers],0),FALSE)=0,"",VLOOKUP($A42,InvDump[#All],MATCH(R$3,InvDump[#Headers],0),FALSE)),"")</f>
        <v/>
      </c>
      <c r="S42" s="66" t="str">
        <f>IFERROR(IF(InvDump[[#This Row],[Annexure]]="Yes",VLOOKUP($A42,InvDump[#All],20,FALSE)&amp;"; "&amp;VLOOKUP($A42,InvDump[#All],22,FALSE),VLOOKUP($A42,InvDump[#All],20,FALSE)),"")</f>
        <v/>
      </c>
    </row>
    <row r="43" spans="1:19" x14ac:dyDescent="0.3">
      <c r="A43" s="68"/>
      <c r="B43" s="61" t="str">
        <f>IFERROR(VLOOKUP($A43,InvDump[#All],MATCH(B$3,InvDump[#Headers],0),FALSE),"-")</f>
        <v>-</v>
      </c>
      <c r="C43" s="62" t="str">
        <f>IFERROR(VLOOKUP($A43,InvDump[#All],MATCH(C$3,InvDump[#Headers],0),FALSE),"-")</f>
        <v>-</v>
      </c>
      <c r="D43" s="61" t="str">
        <f>IFERROR(VLOOKUP($A43,InvDump[#All],MATCH(D$3,InvDump[#Headers],0),FALSE),"-")</f>
        <v>-</v>
      </c>
      <c r="E43" s="61" t="str">
        <f>IFERROR(VLOOKUP($A43,InvDump[#All],MATCH(E$3,InvDump[#Headers],0),FALSE),"-")</f>
        <v>-</v>
      </c>
      <c r="F43" s="61" t="str">
        <f>IFERROR(VLOOKUP($A43,InvDump[#All],MATCH(F$3,InvDump[#Headers],0),FALSE),"-")</f>
        <v>-</v>
      </c>
      <c r="G43" s="61" t="str">
        <f>IFERROR(VLOOKUP($A43,InvDump[#All],MATCH(G$3,InvDump[#Headers],0),FALSE),"-")</f>
        <v>-</v>
      </c>
      <c r="H43" s="63" t="str">
        <f>IFERROR(VLOOKUP(G43,CustomerData!$B$4:$D$13,3),"-")</f>
        <v>-</v>
      </c>
      <c r="I43" s="61" t="str">
        <f>IFERROR(VLOOKUP($A43,InvDump[#All],MATCH(I$3,InvDump[#Headers],0),FALSE),"-")</f>
        <v>-</v>
      </c>
      <c r="J43" s="61" t="str">
        <f>IFERROR(VLOOKUP($A43,InvDump[#All],MATCH(J$3,InvDump[#Headers],0),FALSE),"-")</f>
        <v>-</v>
      </c>
      <c r="K43" s="61" t="str">
        <f>IFERROR(VLOOKUP($A43,InvDump[#All],MATCH(K$3,InvDump[#Headers],0),FALSE),"-")</f>
        <v>-</v>
      </c>
      <c r="L43" s="64" t="str">
        <f>IFERROR(VLOOKUP($A43,InvDump[#All],MATCH(L$3,InvDump[#Headers],0),FALSE),"-")</f>
        <v>-</v>
      </c>
      <c r="M43" s="64" t="str">
        <f>IFERROR(VLOOKUP($A43,InvDump[#All],MATCH(M$3,InvDump[#Headers],0),FALSE),"-")</f>
        <v>-</v>
      </c>
      <c r="N43" s="64" t="str">
        <f>IFERROR(VLOOKUP($A43,InvDump[#All],MATCH(N$3,InvDump[#Headers],0),FALSE),"-")</f>
        <v>-</v>
      </c>
      <c r="O43" s="64" t="str">
        <f>IFERROR(VLOOKUP($A43,InvDump[#All],MATCH(O$3,InvDump[#Headers],0),FALSE),"-")</f>
        <v>-</v>
      </c>
      <c r="P43" s="67" t="str">
        <f>IFERROR(VLOOKUP($A43,InvDump[#All],MATCH(P$3,InvDump[#Headers],0),FALSE),"")</f>
        <v/>
      </c>
      <c r="Q43" s="65" t="str">
        <f>IFERROR(VLOOKUP($A43,InvDump[#All],MATCH(Q$3,InvDump[#Headers],0),FALSE),"")</f>
        <v/>
      </c>
      <c r="R43" s="65" t="str">
        <f>IFERROR(IF(VLOOKUP($A43,InvDump[#All],MATCH(R$3,InvDump[#Headers],0),FALSE)=0,"",VLOOKUP($A43,InvDump[#All],MATCH(R$3,InvDump[#Headers],0),FALSE)),"")</f>
        <v/>
      </c>
      <c r="S43" s="66" t="str">
        <f>IFERROR(IF(InvDump[[#This Row],[Annexure]]="Yes",VLOOKUP($A43,InvDump[#All],20,FALSE)&amp;"; "&amp;VLOOKUP($A43,InvDump[#All],22,FALSE),VLOOKUP($A43,InvDump[#All],20,FALSE)),"")</f>
        <v/>
      </c>
    </row>
    <row r="44" spans="1:19" x14ac:dyDescent="0.3">
      <c r="A44" s="68"/>
      <c r="B44" s="61" t="str">
        <f>IFERROR(VLOOKUP($A44,InvDump[#All],MATCH(B$3,InvDump[#Headers],0),FALSE),"-")</f>
        <v>-</v>
      </c>
      <c r="C44" s="62" t="str">
        <f>IFERROR(VLOOKUP($A44,InvDump[#All],MATCH(C$3,InvDump[#Headers],0),FALSE),"-")</f>
        <v>-</v>
      </c>
      <c r="D44" s="61" t="str">
        <f>IFERROR(VLOOKUP($A44,InvDump[#All],MATCH(D$3,InvDump[#Headers],0),FALSE),"-")</f>
        <v>-</v>
      </c>
      <c r="E44" s="61" t="str">
        <f>IFERROR(VLOOKUP($A44,InvDump[#All],MATCH(E$3,InvDump[#Headers],0),FALSE),"-")</f>
        <v>-</v>
      </c>
      <c r="F44" s="61" t="str">
        <f>IFERROR(VLOOKUP($A44,InvDump[#All],MATCH(F$3,InvDump[#Headers],0),FALSE),"-")</f>
        <v>-</v>
      </c>
      <c r="G44" s="61" t="str">
        <f>IFERROR(VLOOKUP($A44,InvDump[#All],MATCH(G$3,InvDump[#Headers],0),FALSE),"-")</f>
        <v>-</v>
      </c>
      <c r="H44" s="63" t="str">
        <f>IFERROR(VLOOKUP(G44,CustomerData!$B$4:$D$13,3),"-")</f>
        <v>-</v>
      </c>
      <c r="I44" s="61" t="str">
        <f>IFERROR(VLOOKUP($A44,InvDump[#All],MATCH(I$3,InvDump[#Headers],0),FALSE),"-")</f>
        <v>-</v>
      </c>
      <c r="J44" s="61" t="str">
        <f>IFERROR(VLOOKUP($A44,InvDump[#All],MATCH(J$3,InvDump[#Headers],0),FALSE),"-")</f>
        <v>-</v>
      </c>
      <c r="K44" s="61" t="str">
        <f>IFERROR(VLOOKUP($A44,InvDump[#All],MATCH(K$3,InvDump[#Headers],0),FALSE),"-")</f>
        <v>-</v>
      </c>
      <c r="L44" s="64" t="str">
        <f>IFERROR(VLOOKUP($A44,InvDump[#All],MATCH(L$3,InvDump[#Headers],0),FALSE),"-")</f>
        <v>-</v>
      </c>
      <c r="M44" s="64" t="str">
        <f>IFERROR(VLOOKUP($A44,InvDump[#All],MATCH(M$3,InvDump[#Headers],0),FALSE),"-")</f>
        <v>-</v>
      </c>
      <c r="N44" s="64" t="str">
        <f>IFERROR(VLOOKUP($A44,InvDump[#All],MATCH(N$3,InvDump[#Headers],0),FALSE),"-")</f>
        <v>-</v>
      </c>
      <c r="O44" s="64" t="str">
        <f>IFERROR(VLOOKUP($A44,InvDump[#All],MATCH(O$3,InvDump[#Headers],0),FALSE),"-")</f>
        <v>-</v>
      </c>
      <c r="P44" s="67" t="str">
        <f>IFERROR(VLOOKUP($A44,InvDump[#All],MATCH(P$3,InvDump[#Headers],0),FALSE),"")</f>
        <v/>
      </c>
      <c r="Q44" s="65" t="str">
        <f>IFERROR(VLOOKUP($A44,InvDump[#All],MATCH(Q$3,InvDump[#Headers],0),FALSE),"")</f>
        <v/>
      </c>
      <c r="R44" s="65" t="str">
        <f>IFERROR(IF(VLOOKUP($A44,InvDump[#All],MATCH(R$3,InvDump[#Headers],0),FALSE)=0,"",VLOOKUP($A44,InvDump[#All],MATCH(R$3,InvDump[#Headers],0),FALSE)),"")</f>
        <v/>
      </c>
      <c r="S44" s="66" t="str">
        <f>IFERROR(IF(InvDump[[#This Row],[Annexure]]="Yes",VLOOKUP($A44,InvDump[#All],20,FALSE)&amp;"; "&amp;VLOOKUP($A44,InvDump[#All],22,FALSE),VLOOKUP($A44,InvDump[#All],20,FALSE)),"")</f>
        <v/>
      </c>
    </row>
    <row r="45" spans="1:19" x14ac:dyDescent="0.3">
      <c r="A45" s="68"/>
      <c r="B45" s="61" t="str">
        <f>IFERROR(VLOOKUP($A45,InvDump[#All],MATCH(B$3,InvDump[#Headers],0),FALSE),"-")</f>
        <v>-</v>
      </c>
      <c r="C45" s="62" t="str">
        <f>IFERROR(VLOOKUP($A45,InvDump[#All],MATCH(C$3,InvDump[#Headers],0),FALSE),"-")</f>
        <v>-</v>
      </c>
      <c r="D45" s="61" t="str">
        <f>IFERROR(VLOOKUP($A45,InvDump[#All],MATCH(D$3,InvDump[#Headers],0),FALSE),"-")</f>
        <v>-</v>
      </c>
      <c r="E45" s="61" t="str">
        <f>IFERROR(VLOOKUP($A45,InvDump[#All],MATCH(E$3,InvDump[#Headers],0),FALSE),"-")</f>
        <v>-</v>
      </c>
      <c r="F45" s="61" t="str">
        <f>IFERROR(VLOOKUP($A45,InvDump[#All],MATCH(F$3,InvDump[#Headers],0),FALSE),"-")</f>
        <v>-</v>
      </c>
      <c r="G45" s="61" t="str">
        <f>IFERROR(VLOOKUP($A45,InvDump[#All],MATCH(G$3,InvDump[#Headers],0),FALSE),"-")</f>
        <v>-</v>
      </c>
      <c r="H45" s="63" t="str">
        <f>IFERROR(VLOOKUP(G45,CustomerData!$B$4:$D$13,3),"-")</f>
        <v>-</v>
      </c>
      <c r="I45" s="61" t="str">
        <f>IFERROR(VLOOKUP($A45,InvDump[#All],MATCH(I$3,InvDump[#Headers],0),FALSE),"-")</f>
        <v>-</v>
      </c>
      <c r="J45" s="61" t="str">
        <f>IFERROR(VLOOKUP($A45,InvDump[#All],MATCH(J$3,InvDump[#Headers],0),FALSE),"-")</f>
        <v>-</v>
      </c>
      <c r="K45" s="61" t="str">
        <f>IFERROR(VLOOKUP($A45,InvDump[#All],MATCH(K$3,InvDump[#Headers],0),FALSE),"-")</f>
        <v>-</v>
      </c>
      <c r="L45" s="64" t="str">
        <f>IFERROR(VLOOKUP($A45,InvDump[#All],MATCH(L$3,InvDump[#Headers],0),FALSE),"-")</f>
        <v>-</v>
      </c>
      <c r="M45" s="64" t="str">
        <f>IFERROR(VLOOKUP($A45,InvDump[#All],MATCH(M$3,InvDump[#Headers],0),FALSE),"-")</f>
        <v>-</v>
      </c>
      <c r="N45" s="64" t="str">
        <f>IFERROR(VLOOKUP($A45,InvDump[#All],MATCH(N$3,InvDump[#Headers],0),FALSE),"-")</f>
        <v>-</v>
      </c>
      <c r="O45" s="64" t="str">
        <f>IFERROR(VLOOKUP($A45,InvDump[#All],MATCH(O$3,InvDump[#Headers],0),FALSE),"-")</f>
        <v>-</v>
      </c>
      <c r="P45" s="67" t="str">
        <f>IFERROR(VLOOKUP($A45,InvDump[#All],MATCH(P$3,InvDump[#Headers],0),FALSE),"")</f>
        <v/>
      </c>
      <c r="Q45" s="65" t="str">
        <f>IFERROR(VLOOKUP($A45,InvDump[#All],MATCH(Q$3,InvDump[#Headers],0),FALSE),"")</f>
        <v/>
      </c>
      <c r="R45" s="65" t="str">
        <f>IFERROR(IF(VLOOKUP($A45,InvDump[#All],MATCH(R$3,InvDump[#Headers],0),FALSE)=0,"",VLOOKUP($A45,InvDump[#All],MATCH(R$3,InvDump[#Headers],0),FALSE)),"")</f>
        <v/>
      </c>
      <c r="S45" s="66" t="str">
        <f>IFERROR(IF(InvDump[[#This Row],[Annexure]]="Yes",VLOOKUP($A45,InvDump[#All],20,FALSE)&amp;"; "&amp;VLOOKUP($A45,InvDump[#All],22,FALSE),VLOOKUP($A45,InvDump[#All],20,FALSE)),"")</f>
        <v/>
      </c>
    </row>
    <row r="46" spans="1:19" x14ac:dyDescent="0.3">
      <c r="A46" s="68"/>
      <c r="B46" s="61" t="str">
        <f>IFERROR(VLOOKUP($A46,InvDump[#All],MATCH(B$3,InvDump[#Headers],0),FALSE),"-")</f>
        <v>-</v>
      </c>
      <c r="C46" s="62" t="str">
        <f>IFERROR(VLOOKUP($A46,InvDump[#All],MATCH(C$3,InvDump[#Headers],0),FALSE),"-")</f>
        <v>-</v>
      </c>
      <c r="D46" s="61" t="str">
        <f>IFERROR(VLOOKUP($A46,InvDump[#All],MATCH(D$3,InvDump[#Headers],0),FALSE),"-")</f>
        <v>-</v>
      </c>
      <c r="E46" s="61" t="str">
        <f>IFERROR(VLOOKUP($A46,InvDump[#All],MATCH(E$3,InvDump[#Headers],0),FALSE),"-")</f>
        <v>-</v>
      </c>
      <c r="F46" s="61" t="str">
        <f>IFERROR(VLOOKUP($A46,InvDump[#All],MATCH(F$3,InvDump[#Headers],0),FALSE),"-")</f>
        <v>-</v>
      </c>
      <c r="G46" s="61" t="str">
        <f>IFERROR(VLOOKUP($A46,InvDump[#All],MATCH(G$3,InvDump[#Headers],0),FALSE),"-")</f>
        <v>-</v>
      </c>
      <c r="H46" s="63" t="str">
        <f>IFERROR(VLOOKUP(G46,CustomerData!$B$4:$D$13,3),"-")</f>
        <v>-</v>
      </c>
      <c r="I46" s="61" t="str">
        <f>IFERROR(VLOOKUP($A46,InvDump[#All],MATCH(I$3,InvDump[#Headers],0),FALSE),"-")</f>
        <v>-</v>
      </c>
      <c r="J46" s="61" t="str">
        <f>IFERROR(VLOOKUP($A46,InvDump[#All],MATCH(J$3,InvDump[#Headers],0),FALSE),"-")</f>
        <v>-</v>
      </c>
      <c r="K46" s="61" t="str">
        <f>IFERROR(VLOOKUP($A46,InvDump[#All],MATCH(K$3,InvDump[#Headers],0),FALSE),"-")</f>
        <v>-</v>
      </c>
      <c r="L46" s="64" t="str">
        <f>IFERROR(VLOOKUP($A46,InvDump[#All],MATCH(L$3,InvDump[#Headers],0),FALSE),"-")</f>
        <v>-</v>
      </c>
      <c r="M46" s="64" t="str">
        <f>IFERROR(VLOOKUP($A46,InvDump[#All],MATCH(M$3,InvDump[#Headers],0),FALSE),"-")</f>
        <v>-</v>
      </c>
      <c r="N46" s="64" t="str">
        <f>IFERROR(VLOOKUP($A46,InvDump[#All],MATCH(N$3,InvDump[#Headers],0),FALSE),"-")</f>
        <v>-</v>
      </c>
      <c r="O46" s="64" t="str">
        <f>IFERROR(VLOOKUP($A46,InvDump[#All],MATCH(O$3,InvDump[#Headers],0),FALSE),"-")</f>
        <v>-</v>
      </c>
      <c r="P46" s="67" t="str">
        <f>IFERROR(VLOOKUP($A46,InvDump[#All],MATCH(P$3,InvDump[#Headers],0),FALSE),"")</f>
        <v/>
      </c>
      <c r="Q46" s="65" t="str">
        <f>IFERROR(VLOOKUP($A46,InvDump[#All],MATCH(Q$3,InvDump[#Headers],0),FALSE),"")</f>
        <v/>
      </c>
      <c r="R46" s="65" t="str">
        <f>IFERROR(IF(VLOOKUP($A46,InvDump[#All],MATCH(R$3,InvDump[#Headers],0),FALSE)=0,"",VLOOKUP($A46,InvDump[#All],MATCH(R$3,InvDump[#Headers],0),FALSE)),"")</f>
        <v/>
      </c>
      <c r="S46" s="66" t="str">
        <f>IFERROR(IF(InvDump[[#This Row],[Annexure]]="Yes",VLOOKUP($A46,InvDump[#All],20,FALSE)&amp;"; "&amp;VLOOKUP($A46,InvDump[#All],22,FALSE),VLOOKUP($A46,InvDump[#All],20,FALSE)),"")</f>
        <v/>
      </c>
    </row>
    <row r="47" spans="1:19" x14ac:dyDescent="0.3">
      <c r="A47" s="68"/>
      <c r="B47" s="61" t="str">
        <f>IFERROR(VLOOKUP($A47,InvDump[#All],MATCH(B$3,InvDump[#Headers],0),FALSE),"-")</f>
        <v>-</v>
      </c>
      <c r="C47" s="62" t="str">
        <f>IFERROR(VLOOKUP($A47,InvDump[#All],MATCH(C$3,InvDump[#Headers],0),FALSE),"-")</f>
        <v>-</v>
      </c>
      <c r="D47" s="61" t="str">
        <f>IFERROR(VLOOKUP($A47,InvDump[#All],MATCH(D$3,InvDump[#Headers],0),FALSE),"-")</f>
        <v>-</v>
      </c>
      <c r="E47" s="61" t="str">
        <f>IFERROR(VLOOKUP($A47,InvDump[#All],MATCH(E$3,InvDump[#Headers],0),FALSE),"-")</f>
        <v>-</v>
      </c>
      <c r="F47" s="61" t="str">
        <f>IFERROR(VLOOKUP($A47,InvDump[#All],MATCH(F$3,InvDump[#Headers],0),FALSE),"-")</f>
        <v>-</v>
      </c>
      <c r="G47" s="61" t="str">
        <f>IFERROR(VLOOKUP($A47,InvDump[#All],MATCH(G$3,InvDump[#Headers],0),FALSE),"-")</f>
        <v>-</v>
      </c>
      <c r="H47" s="63" t="str">
        <f>IFERROR(VLOOKUP(G47,CustomerData!$B$4:$D$13,3),"-")</f>
        <v>-</v>
      </c>
      <c r="I47" s="61" t="str">
        <f>IFERROR(VLOOKUP($A47,InvDump[#All],MATCH(I$3,InvDump[#Headers],0),FALSE),"-")</f>
        <v>-</v>
      </c>
      <c r="J47" s="61" t="str">
        <f>IFERROR(VLOOKUP($A47,InvDump[#All],MATCH(J$3,InvDump[#Headers],0),FALSE),"-")</f>
        <v>-</v>
      </c>
      <c r="K47" s="61" t="str">
        <f>IFERROR(VLOOKUP($A47,InvDump[#All],MATCH(K$3,InvDump[#Headers],0),FALSE),"-")</f>
        <v>-</v>
      </c>
      <c r="L47" s="64" t="str">
        <f>IFERROR(VLOOKUP($A47,InvDump[#All],MATCH(L$3,InvDump[#Headers],0),FALSE),"-")</f>
        <v>-</v>
      </c>
      <c r="M47" s="64" t="str">
        <f>IFERROR(VLOOKUP($A47,InvDump[#All],MATCH(M$3,InvDump[#Headers],0),FALSE),"-")</f>
        <v>-</v>
      </c>
      <c r="N47" s="64" t="str">
        <f>IFERROR(VLOOKUP($A47,InvDump[#All],MATCH(N$3,InvDump[#Headers],0),FALSE),"-")</f>
        <v>-</v>
      </c>
      <c r="O47" s="64" t="str">
        <f>IFERROR(VLOOKUP($A47,InvDump[#All],MATCH(O$3,InvDump[#Headers],0),FALSE),"-")</f>
        <v>-</v>
      </c>
      <c r="P47" s="67" t="str">
        <f>IFERROR(VLOOKUP($A47,InvDump[#All],MATCH(P$3,InvDump[#Headers],0),FALSE),"")</f>
        <v/>
      </c>
      <c r="Q47" s="65" t="str">
        <f>IFERROR(VLOOKUP($A47,InvDump[#All],MATCH(Q$3,InvDump[#Headers],0),FALSE),"")</f>
        <v/>
      </c>
      <c r="R47" s="65" t="str">
        <f>IFERROR(IF(VLOOKUP($A47,InvDump[#All],MATCH(R$3,InvDump[#Headers],0),FALSE)=0,"",VLOOKUP($A47,InvDump[#All],MATCH(R$3,InvDump[#Headers],0),FALSE)),"")</f>
        <v/>
      </c>
      <c r="S47" s="66" t="str">
        <f>IFERROR(IF(InvDump[[#This Row],[Annexure]]="Yes",VLOOKUP($A47,InvDump[#All],20,FALSE)&amp;"; "&amp;VLOOKUP($A47,InvDump[#All],22,FALSE),VLOOKUP($A47,InvDump[#All],20,FALSE)),"")</f>
        <v/>
      </c>
    </row>
    <row r="48" spans="1:19" x14ac:dyDescent="0.3">
      <c r="A48" s="68"/>
      <c r="B48" s="61" t="str">
        <f>IFERROR(VLOOKUP($A48,InvDump[#All],MATCH(B$3,InvDump[#Headers],0),FALSE),"-")</f>
        <v>-</v>
      </c>
      <c r="C48" s="62" t="str">
        <f>IFERROR(VLOOKUP($A48,InvDump[#All],MATCH(C$3,InvDump[#Headers],0),FALSE),"-")</f>
        <v>-</v>
      </c>
      <c r="D48" s="61" t="str">
        <f>IFERROR(VLOOKUP($A48,InvDump[#All],MATCH(D$3,InvDump[#Headers],0),FALSE),"-")</f>
        <v>-</v>
      </c>
      <c r="E48" s="61" t="str">
        <f>IFERROR(VLOOKUP($A48,InvDump[#All],MATCH(E$3,InvDump[#Headers],0),FALSE),"-")</f>
        <v>-</v>
      </c>
      <c r="F48" s="61" t="str">
        <f>IFERROR(VLOOKUP($A48,InvDump[#All],MATCH(F$3,InvDump[#Headers],0),FALSE),"-")</f>
        <v>-</v>
      </c>
      <c r="G48" s="61" t="str">
        <f>IFERROR(VLOOKUP($A48,InvDump[#All],MATCH(G$3,InvDump[#Headers],0),FALSE),"-")</f>
        <v>-</v>
      </c>
      <c r="H48" s="63" t="str">
        <f>IFERROR(VLOOKUP(G48,CustomerData!$B$4:$D$13,3),"-")</f>
        <v>-</v>
      </c>
      <c r="I48" s="61" t="str">
        <f>IFERROR(VLOOKUP($A48,InvDump[#All],MATCH(I$3,InvDump[#Headers],0),FALSE),"-")</f>
        <v>-</v>
      </c>
      <c r="J48" s="61" t="str">
        <f>IFERROR(VLOOKUP($A48,InvDump[#All],MATCH(J$3,InvDump[#Headers],0),FALSE),"-")</f>
        <v>-</v>
      </c>
      <c r="K48" s="61" t="str">
        <f>IFERROR(VLOOKUP($A48,InvDump[#All],MATCH(K$3,InvDump[#Headers],0),FALSE),"-")</f>
        <v>-</v>
      </c>
      <c r="L48" s="64" t="str">
        <f>IFERROR(VLOOKUP($A48,InvDump[#All],MATCH(L$3,InvDump[#Headers],0),FALSE),"-")</f>
        <v>-</v>
      </c>
      <c r="M48" s="64" t="str">
        <f>IFERROR(VLOOKUP($A48,InvDump[#All],MATCH(M$3,InvDump[#Headers],0),FALSE),"-")</f>
        <v>-</v>
      </c>
      <c r="N48" s="64" t="str">
        <f>IFERROR(VLOOKUP($A48,InvDump[#All],MATCH(N$3,InvDump[#Headers],0),FALSE),"-")</f>
        <v>-</v>
      </c>
      <c r="O48" s="64" t="str">
        <f>IFERROR(VLOOKUP($A48,InvDump[#All],MATCH(O$3,InvDump[#Headers],0),FALSE),"-")</f>
        <v>-</v>
      </c>
      <c r="P48" s="67" t="str">
        <f>IFERROR(VLOOKUP($A48,InvDump[#All],MATCH(P$3,InvDump[#Headers],0),FALSE),"")</f>
        <v/>
      </c>
      <c r="Q48" s="65" t="str">
        <f>IFERROR(VLOOKUP($A48,InvDump[#All],MATCH(Q$3,InvDump[#Headers],0),FALSE),"")</f>
        <v/>
      </c>
      <c r="R48" s="65" t="str">
        <f>IFERROR(IF(VLOOKUP($A48,InvDump[#All],MATCH(R$3,InvDump[#Headers],0),FALSE)=0,"",VLOOKUP($A48,InvDump[#All],MATCH(R$3,InvDump[#Headers],0),FALSE)),"")</f>
        <v/>
      </c>
      <c r="S48" s="66" t="str">
        <f>IFERROR(IF(InvDump[[#This Row],[Annexure]]="Yes",VLOOKUP($A48,InvDump[#All],20,FALSE)&amp;"; "&amp;VLOOKUP($A48,InvDump[#All],22,FALSE),VLOOKUP($A48,InvDump[#All],20,FALSE)),"")</f>
        <v/>
      </c>
    </row>
    <row r="49" spans="1:19" x14ac:dyDescent="0.3">
      <c r="A49" s="68"/>
      <c r="B49" s="61" t="str">
        <f>IFERROR(VLOOKUP($A49,InvDump[#All],MATCH(B$3,InvDump[#Headers],0),FALSE),"-")</f>
        <v>-</v>
      </c>
      <c r="C49" s="62" t="str">
        <f>IFERROR(VLOOKUP($A49,InvDump[#All],MATCH(C$3,InvDump[#Headers],0),FALSE),"-")</f>
        <v>-</v>
      </c>
      <c r="D49" s="61" t="str">
        <f>IFERROR(VLOOKUP($A49,InvDump[#All],MATCH(D$3,InvDump[#Headers],0),FALSE),"-")</f>
        <v>-</v>
      </c>
      <c r="E49" s="61" t="str">
        <f>IFERROR(VLOOKUP($A49,InvDump[#All],MATCH(E$3,InvDump[#Headers],0),FALSE),"-")</f>
        <v>-</v>
      </c>
      <c r="F49" s="61" t="str">
        <f>IFERROR(VLOOKUP($A49,InvDump[#All],MATCH(F$3,InvDump[#Headers],0),FALSE),"-")</f>
        <v>-</v>
      </c>
      <c r="G49" s="61" t="str">
        <f>IFERROR(VLOOKUP($A49,InvDump[#All],MATCH(G$3,InvDump[#Headers],0),FALSE),"-")</f>
        <v>-</v>
      </c>
      <c r="H49" s="63" t="str">
        <f>IFERROR(VLOOKUP(G49,CustomerData!$B$4:$D$13,3),"-")</f>
        <v>-</v>
      </c>
      <c r="I49" s="61" t="str">
        <f>IFERROR(VLOOKUP($A49,InvDump[#All],MATCH(I$3,InvDump[#Headers],0),FALSE),"-")</f>
        <v>-</v>
      </c>
      <c r="J49" s="61" t="str">
        <f>IFERROR(VLOOKUP($A49,InvDump[#All],MATCH(J$3,InvDump[#Headers],0),FALSE),"-")</f>
        <v>-</v>
      </c>
      <c r="K49" s="61" t="str">
        <f>IFERROR(VLOOKUP($A49,InvDump[#All],MATCH(K$3,InvDump[#Headers],0),FALSE),"-")</f>
        <v>-</v>
      </c>
      <c r="L49" s="64" t="str">
        <f>IFERROR(VLOOKUP($A49,InvDump[#All],MATCH(L$3,InvDump[#Headers],0),FALSE),"-")</f>
        <v>-</v>
      </c>
      <c r="M49" s="64" t="str">
        <f>IFERROR(VLOOKUP($A49,InvDump[#All],MATCH(M$3,InvDump[#Headers],0),FALSE),"-")</f>
        <v>-</v>
      </c>
      <c r="N49" s="64" t="str">
        <f>IFERROR(VLOOKUP($A49,InvDump[#All],MATCH(N$3,InvDump[#Headers],0),FALSE),"-")</f>
        <v>-</v>
      </c>
      <c r="O49" s="64" t="str">
        <f>IFERROR(VLOOKUP($A49,InvDump[#All],MATCH(O$3,InvDump[#Headers],0),FALSE),"-")</f>
        <v>-</v>
      </c>
      <c r="P49" s="67" t="str">
        <f>IFERROR(VLOOKUP($A49,InvDump[#All],MATCH(P$3,InvDump[#Headers],0),FALSE),"")</f>
        <v/>
      </c>
      <c r="Q49" s="65" t="str">
        <f>IFERROR(VLOOKUP($A49,InvDump[#All],MATCH(Q$3,InvDump[#Headers],0),FALSE),"")</f>
        <v/>
      </c>
      <c r="R49" s="65" t="str">
        <f>IFERROR(IF(VLOOKUP($A49,InvDump[#All],MATCH(R$3,InvDump[#Headers],0),FALSE)=0,"",VLOOKUP($A49,InvDump[#All],MATCH(R$3,InvDump[#Headers],0),FALSE)),"")</f>
        <v/>
      </c>
      <c r="S49" s="66" t="str">
        <f>IFERROR(IF(InvDump[[#This Row],[Annexure]]="Yes",VLOOKUP($A49,InvDump[#All],20,FALSE)&amp;"; "&amp;VLOOKUP($A49,InvDump[#All],22,FALSE),VLOOKUP($A49,InvDump[#All],20,FALSE)),"")</f>
        <v/>
      </c>
    </row>
    <row r="50" spans="1:19" x14ac:dyDescent="0.3">
      <c r="A50" s="68"/>
      <c r="B50" s="61" t="str">
        <f>IFERROR(VLOOKUP($A50,InvDump[#All],MATCH(B$3,InvDump[#Headers],0),FALSE),"-")</f>
        <v>-</v>
      </c>
      <c r="C50" s="62" t="str">
        <f>IFERROR(VLOOKUP($A50,InvDump[#All],MATCH(C$3,InvDump[#Headers],0),FALSE),"-")</f>
        <v>-</v>
      </c>
      <c r="D50" s="61" t="str">
        <f>IFERROR(VLOOKUP($A50,InvDump[#All],MATCH(D$3,InvDump[#Headers],0),FALSE),"-")</f>
        <v>-</v>
      </c>
      <c r="E50" s="61" t="str">
        <f>IFERROR(VLOOKUP($A50,InvDump[#All],MATCH(E$3,InvDump[#Headers],0),FALSE),"-")</f>
        <v>-</v>
      </c>
      <c r="F50" s="61" t="str">
        <f>IFERROR(VLOOKUP($A50,InvDump[#All],MATCH(F$3,InvDump[#Headers],0),FALSE),"-")</f>
        <v>-</v>
      </c>
      <c r="G50" s="61" t="str">
        <f>IFERROR(VLOOKUP($A50,InvDump[#All],MATCH(G$3,InvDump[#Headers],0),FALSE),"-")</f>
        <v>-</v>
      </c>
      <c r="H50" s="63" t="str">
        <f>IFERROR(VLOOKUP(G50,CustomerData!$B$4:$D$13,3),"-")</f>
        <v>-</v>
      </c>
      <c r="I50" s="61" t="str">
        <f>IFERROR(VLOOKUP($A50,InvDump[#All],MATCH(I$3,InvDump[#Headers],0),FALSE),"-")</f>
        <v>-</v>
      </c>
      <c r="J50" s="61" t="str">
        <f>IFERROR(VLOOKUP($A50,InvDump[#All],MATCH(J$3,InvDump[#Headers],0),FALSE),"-")</f>
        <v>-</v>
      </c>
      <c r="K50" s="61" t="str">
        <f>IFERROR(VLOOKUP($A50,InvDump[#All],MATCH(K$3,InvDump[#Headers],0),FALSE),"-")</f>
        <v>-</v>
      </c>
      <c r="L50" s="64" t="str">
        <f>IFERROR(VLOOKUP($A50,InvDump[#All],MATCH(L$3,InvDump[#Headers],0),FALSE),"-")</f>
        <v>-</v>
      </c>
      <c r="M50" s="64" t="str">
        <f>IFERROR(VLOOKUP($A50,InvDump[#All],MATCH(M$3,InvDump[#Headers],0),FALSE),"-")</f>
        <v>-</v>
      </c>
      <c r="N50" s="64" t="str">
        <f>IFERROR(VLOOKUP($A50,InvDump[#All],MATCH(N$3,InvDump[#Headers],0),FALSE),"-")</f>
        <v>-</v>
      </c>
      <c r="O50" s="64" t="str">
        <f>IFERROR(VLOOKUP($A50,InvDump[#All],MATCH(O$3,InvDump[#Headers],0),FALSE),"-")</f>
        <v>-</v>
      </c>
      <c r="P50" s="67" t="str">
        <f>IFERROR(VLOOKUP($A50,InvDump[#All],MATCH(P$3,InvDump[#Headers],0),FALSE),"")</f>
        <v/>
      </c>
      <c r="Q50" s="65" t="str">
        <f>IFERROR(VLOOKUP($A50,InvDump[#All],MATCH(Q$3,InvDump[#Headers],0),FALSE),"")</f>
        <v/>
      </c>
      <c r="R50" s="65" t="str">
        <f>IFERROR(IF(VLOOKUP($A50,InvDump[#All],MATCH(R$3,InvDump[#Headers],0),FALSE)=0,"",VLOOKUP($A50,InvDump[#All],MATCH(R$3,InvDump[#Headers],0),FALSE)),"")</f>
        <v/>
      </c>
      <c r="S50" s="66" t="str">
        <f>IFERROR(IF(InvDump[[#This Row],[Annexure]]="Yes",VLOOKUP($A50,InvDump[#All],20,FALSE)&amp;"; "&amp;VLOOKUP($A50,InvDump[#All],22,FALSE),VLOOKUP($A50,InvDump[#All],20,FALSE)),"")</f>
        <v/>
      </c>
    </row>
    <row r="51" spans="1:19" x14ac:dyDescent="0.3">
      <c r="A51" s="68"/>
      <c r="B51" s="61" t="str">
        <f>IFERROR(VLOOKUP($A51,InvDump[#All],MATCH(B$3,InvDump[#Headers],0),FALSE),"-")</f>
        <v>-</v>
      </c>
      <c r="C51" s="62" t="str">
        <f>IFERROR(VLOOKUP($A51,InvDump[#All],MATCH(C$3,InvDump[#Headers],0),FALSE),"-")</f>
        <v>-</v>
      </c>
      <c r="D51" s="61" t="str">
        <f>IFERROR(VLOOKUP($A51,InvDump[#All],MATCH(D$3,InvDump[#Headers],0),FALSE),"-")</f>
        <v>-</v>
      </c>
      <c r="E51" s="61" t="str">
        <f>IFERROR(VLOOKUP($A51,InvDump[#All],MATCH(E$3,InvDump[#Headers],0),FALSE),"-")</f>
        <v>-</v>
      </c>
      <c r="F51" s="61" t="str">
        <f>IFERROR(VLOOKUP($A51,InvDump[#All],MATCH(F$3,InvDump[#Headers],0),FALSE),"-")</f>
        <v>-</v>
      </c>
      <c r="G51" s="61" t="str">
        <f>IFERROR(VLOOKUP($A51,InvDump[#All],MATCH(G$3,InvDump[#Headers],0),FALSE),"-")</f>
        <v>-</v>
      </c>
      <c r="H51" s="63" t="str">
        <f>IFERROR(VLOOKUP(G51,CustomerData!$B$4:$D$13,3),"-")</f>
        <v>-</v>
      </c>
      <c r="I51" s="61" t="str">
        <f>IFERROR(VLOOKUP($A51,InvDump[#All],MATCH(I$3,InvDump[#Headers],0),FALSE),"-")</f>
        <v>-</v>
      </c>
      <c r="J51" s="61" t="str">
        <f>IFERROR(VLOOKUP($A51,InvDump[#All],MATCH(J$3,InvDump[#Headers],0),FALSE),"-")</f>
        <v>-</v>
      </c>
      <c r="K51" s="61" t="str">
        <f>IFERROR(VLOOKUP($A51,InvDump[#All],MATCH(K$3,InvDump[#Headers],0),FALSE),"-")</f>
        <v>-</v>
      </c>
      <c r="L51" s="64" t="str">
        <f>IFERROR(VLOOKUP($A51,InvDump[#All],MATCH(L$3,InvDump[#Headers],0),FALSE),"-")</f>
        <v>-</v>
      </c>
      <c r="M51" s="64" t="str">
        <f>IFERROR(VLOOKUP($A51,InvDump[#All],MATCH(M$3,InvDump[#Headers],0),FALSE),"-")</f>
        <v>-</v>
      </c>
      <c r="N51" s="64" t="str">
        <f>IFERROR(VLOOKUP($A51,InvDump[#All],MATCH(N$3,InvDump[#Headers],0),FALSE),"-")</f>
        <v>-</v>
      </c>
      <c r="O51" s="64" t="str">
        <f>IFERROR(VLOOKUP($A51,InvDump[#All],MATCH(O$3,InvDump[#Headers],0),FALSE),"-")</f>
        <v>-</v>
      </c>
      <c r="P51" s="67" t="str">
        <f>IFERROR(VLOOKUP($A51,InvDump[#All],MATCH(P$3,InvDump[#Headers],0),FALSE),"")</f>
        <v/>
      </c>
      <c r="Q51" s="65" t="str">
        <f>IFERROR(VLOOKUP($A51,InvDump[#All],MATCH(Q$3,InvDump[#Headers],0),FALSE),"")</f>
        <v/>
      </c>
      <c r="R51" s="65" t="str">
        <f>IFERROR(IF(VLOOKUP($A51,InvDump[#All],MATCH(R$3,InvDump[#Headers],0),FALSE)=0,"",VLOOKUP($A51,InvDump[#All],MATCH(R$3,InvDump[#Headers],0),FALSE)),"")</f>
        <v/>
      </c>
      <c r="S51" s="66" t="str">
        <f>IFERROR(IF(InvDump[[#This Row],[Annexure]]="Yes",VLOOKUP($A51,InvDump[#All],20,FALSE)&amp;"; "&amp;VLOOKUP($A51,InvDump[#All],22,FALSE),VLOOKUP($A51,InvDump[#All],20,FALSE)),"")</f>
        <v/>
      </c>
    </row>
    <row r="52" spans="1:19" x14ac:dyDescent="0.3">
      <c r="A52" s="68"/>
      <c r="B52" s="61" t="str">
        <f>IFERROR(VLOOKUP($A52,InvDump[#All],MATCH(B$3,InvDump[#Headers],0),FALSE),"-")</f>
        <v>-</v>
      </c>
      <c r="C52" s="62" t="str">
        <f>IFERROR(VLOOKUP($A52,InvDump[#All],MATCH(C$3,InvDump[#Headers],0),FALSE),"-")</f>
        <v>-</v>
      </c>
      <c r="D52" s="61" t="str">
        <f>IFERROR(VLOOKUP($A52,InvDump[#All],MATCH(D$3,InvDump[#Headers],0),FALSE),"-")</f>
        <v>-</v>
      </c>
      <c r="E52" s="61" t="str">
        <f>IFERROR(VLOOKUP($A52,InvDump[#All],MATCH(E$3,InvDump[#Headers],0),FALSE),"-")</f>
        <v>-</v>
      </c>
      <c r="F52" s="61" t="str">
        <f>IFERROR(VLOOKUP($A52,InvDump[#All],MATCH(F$3,InvDump[#Headers],0),FALSE),"-")</f>
        <v>-</v>
      </c>
      <c r="G52" s="61" t="str">
        <f>IFERROR(VLOOKUP($A52,InvDump[#All],MATCH(G$3,InvDump[#Headers],0),FALSE),"-")</f>
        <v>-</v>
      </c>
      <c r="H52" s="63" t="str">
        <f>IFERROR(VLOOKUP(G52,CustomerData!$B$4:$D$13,3),"-")</f>
        <v>-</v>
      </c>
      <c r="I52" s="61" t="str">
        <f>IFERROR(VLOOKUP($A52,InvDump[#All],MATCH(I$3,InvDump[#Headers],0),FALSE),"-")</f>
        <v>-</v>
      </c>
      <c r="J52" s="61" t="str">
        <f>IFERROR(VLOOKUP($A52,InvDump[#All],MATCH(J$3,InvDump[#Headers],0),FALSE),"-")</f>
        <v>-</v>
      </c>
      <c r="K52" s="61" t="str">
        <f>IFERROR(VLOOKUP($A52,InvDump[#All],MATCH(K$3,InvDump[#Headers],0),FALSE),"-")</f>
        <v>-</v>
      </c>
      <c r="L52" s="64" t="str">
        <f>IFERROR(VLOOKUP($A52,InvDump[#All],MATCH(L$3,InvDump[#Headers],0),FALSE),"-")</f>
        <v>-</v>
      </c>
      <c r="M52" s="64" t="str">
        <f>IFERROR(VLOOKUP($A52,InvDump[#All],MATCH(M$3,InvDump[#Headers],0),FALSE),"-")</f>
        <v>-</v>
      </c>
      <c r="N52" s="64" t="str">
        <f>IFERROR(VLOOKUP($A52,InvDump[#All],MATCH(N$3,InvDump[#Headers],0),FALSE),"-")</f>
        <v>-</v>
      </c>
      <c r="O52" s="64" t="str">
        <f>IFERROR(VLOOKUP($A52,InvDump[#All],MATCH(O$3,InvDump[#Headers],0),FALSE),"-")</f>
        <v>-</v>
      </c>
      <c r="P52" s="67" t="str">
        <f>IFERROR(VLOOKUP($A52,InvDump[#All],MATCH(P$3,InvDump[#Headers],0),FALSE),"")</f>
        <v/>
      </c>
      <c r="Q52" s="65" t="str">
        <f>IFERROR(VLOOKUP($A52,InvDump[#All],MATCH(Q$3,InvDump[#Headers],0),FALSE),"")</f>
        <v/>
      </c>
      <c r="R52" s="65" t="str">
        <f>IFERROR(IF(VLOOKUP($A52,InvDump[#All],MATCH(R$3,InvDump[#Headers],0),FALSE)=0,"",VLOOKUP($A52,InvDump[#All],MATCH(R$3,InvDump[#Headers],0),FALSE)),"")</f>
        <v/>
      </c>
      <c r="S52" s="66" t="str">
        <f>IFERROR(IF(InvDump[[#This Row],[Annexure]]="Yes",VLOOKUP($A52,InvDump[#All],20,FALSE)&amp;"; "&amp;VLOOKUP($A52,InvDump[#All],22,FALSE),VLOOKUP($A52,InvDump[#All],20,FALSE)),"")</f>
        <v/>
      </c>
    </row>
    <row r="53" spans="1:19" x14ac:dyDescent="0.3">
      <c r="A53" s="68"/>
      <c r="B53" s="61" t="str">
        <f>IFERROR(VLOOKUP($A53,InvDump[#All],MATCH(B$3,InvDump[#Headers],0),FALSE),"-")</f>
        <v>-</v>
      </c>
      <c r="C53" s="62" t="str">
        <f>IFERROR(VLOOKUP($A53,InvDump[#All],MATCH(C$3,InvDump[#Headers],0),FALSE),"-")</f>
        <v>-</v>
      </c>
      <c r="D53" s="61" t="str">
        <f>IFERROR(VLOOKUP($A53,InvDump[#All],MATCH(D$3,InvDump[#Headers],0),FALSE),"-")</f>
        <v>-</v>
      </c>
      <c r="E53" s="61" t="str">
        <f>IFERROR(VLOOKUP($A53,InvDump[#All],MATCH(E$3,InvDump[#Headers],0),FALSE),"-")</f>
        <v>-</v>
      </c>
      <c r="F53" s="61" t="str">
        <f>IFERROR(VLOOKUP($A53,InvDump[#All],MATCH(F$3,InvDump[#Headers],0),FALSE),"-")</f>
        <v>-</v>
      </c>
      <c r="G53" s="61" t="str">
        <f>IFERROR(VLOOKUP($A53,InvDump[#All],MATCH(G$3,InvDump[#Headers],0),FALSE),"-")</f>
        <v>-</v>
      </c>
      <c r="H53" s="63" t="str">
        <f>IFERROR(VLOOKUP(G53,CustomerData!$B$4:$D$13,3),"-")</f>
        <v>-</v>
      </c>
      <c r="I53" s="61" t="str">
        <f>IFERROR(VLOOKUP($A53,InvDump[#All],MATCH(I$3,InvDump[#Headers],0),FALSE),"-")</f>
        <v>-</v>
      </c>
      <c r="J53" s="61" t="str">
        <f>IFERROR(VLOOKUP($A53,InvDump[#All],MATCH(J$3,InvDump[#Headers],0),FALSE),"-")</f>
        <v>-</v>
      </c>
      <c r="K53" s="61" t="str">
        <f>IFERROR(VLOOKUP($A53,InvDump[#All],MATCH(K$3,InvDump[#Headers],0),FALSE),"-")</f>
        <v>-</v>
      </c>
      <c r="L53" s="64" t="str">
        <f>IFERROR(VLOOKUP($A53,InvDump[#All],MATCH(L$3,InvDump[#Headers],0),FALSE),"-")</f>
        <v>-</v>
      </c>
      <c r="M53" s="64" t="str">
        <f>IFERROR(VLOOKUP($A53,InvDump[#All],MATCH(M$3,InvDump[#Headers],0),FALSE),"-")</f>
        <v>-</v>
      </c>
      <c r="N53" s="64" t="str">
        <f>IFERROR(VLOOKUP($A53,InvDump[#All],MATCH(N$3,InvDump[#Headers],0),FALSE),"-")</f>
        <v>-</v>
      </c>
      <c r="O53" s="64" t="str">
        <f>IFERROR(VLOOKUP($A53,InvDump[#All],MATCH(O$3,InvDump[#Headers],0),FALSE),"-")</f>
        <v>-</v>
      </c>
      <c r="P53" s="67" t="str">
        <f>IFERROR(VLOOKUP($A53,InvDump[#All],MATCH(P$3,InvDump[#Headers],0),FALSE),"")</f>
        <v/>
      </c>
      <c r="Q53" s="65" t="str">
        <f>IFERROR(VLOOKUP($A53,InvDump[#All],MATCH(Q$3,InvDump[#Headers],0),FALSE),"")</f>
        <v/>
      </c>
      <c r="R53" s="65" t="str">
        <f>IFERROR(IF(VLOOKUP($A53,InvDump[#All],MATCH(R$3,InvDump[#Headers],0),FALSE)=0,"",VLOOKUP($A53,InvDump[#All],MATCH(R$3,InvDump[#Headers],0),FALSE)),"")</f>
        <v/>
      </c>
      <c r="S53" s="66" t="str">
        <f>IFERROR(IF(InvDump[[#This Row],[Annexure]]="Yes",VLOOKUP($A53,InvDump[#All],20,FALSE)&amp;"; "&amp;VLOOKUP($A53,InvDump[#All],22,FALSE),VLOOKUP($A53,InvDump[#All],20,FALSE)),"")</f>
        <v/>
      </c>
    </row>
    <row r="54" spans="1:19" x14ac:dyDescent="0.3">
      <c r="A54" s="68"/>
      <c r="B54" s="61" t="str">
        <f>IFERROR(VLOOKUP($A54,InvDump[#All],MATCH(B$3,InvDump[#Headers],0),FALSE),"-")</f>
        <v>-</v>
      </c>
      <c r="C54" s="62" t="str">
        <f>IFERROR(VLOOKUP($A54,InvDump[#All],MATCH(C$3,InvDump[#Headers],0),FALSE),"-")</f>
        <v>-</v>
      </c>
      <c r="D54" s="61" t="str">
        <f>IFERROR(VLOOKUP($A54,InvDump[#All],MATCH(D$3,InvDump[#Headers],0),FALSE),"-")</f>
        <v>-</v>
      </c>
      <c r="E54" s="61" t="str">
        <f>IFERROR(VLOOKUP($A54,InvDump[#All],MATCH(E$3,InvDump[#Headers],0),FALSE),"-")</f>
        <v>-</v>
      </c>
      <c r="F54" s="61" t="str">
        <f>IFERROR(VLOOKUP($A54,InvDump[#All],MATCH(F$3,InvDump[#Headers],0),FALSE),"-")</f>
        <v>-</v>
      </c>
      <c r="G54" s="61" t="str">
        <f>IFERROR(VLOOKUP($A54,InvDump[#All],MATCH(G$3,InvDump[#Headers],0),FALSE),"-")</f>
        <v>-</v>
      </c>
      <c r="H54" s="63" t="str">
        <f>IFERROR(VLOOKUP(G54,CustomerData!$B$4:$D$13,3),"-")</f>
        <v>-</v>
      </c>
      <c r="I54" s="61" t="str">
        <f>IFERROR(VLOOKUP($A54,InvDump[#All],MATCH(I$3,InvDump[#Headers],0),FALSE),"-")</f>
        <v>-</v>
      </c>
      <c r="J54" s="61" t="str">
        <f>IFERROR(VLOOKUP($A54,InvDump[#All],MATCH(J$3,InvDump[#Headers],0),FALSE),"-")</f>
        <v>-</v>
      </c>
      <c r="K54" s="61" t="str">
        <f>IFERROR(VLOOKUP($A54,InvDump[#All],MATCH(K$3,InvDump[#Headers],0),FALSE),"-")</f>
        <v>-</v>
      </c>
      <c r="L54" s="64" t="str">
        <f>IFERROR(VLOOKUP($A54,InvDump[#All],MATCH(L$3,InvDump[#Headers],0),FALSE),"-")</f>
        <v>-</v>
      </c>
      <c r="M54" s="64" t="str">
        <f>IFERROR(VLOOKUP($A54,InvDump[#All],MATCH(M$3,InvDump[#Headers],0),FALSE),"-")</f>
        <v>-</v>
      </c>
      <c r="N54" s="64" t="str">
        <f>IFERROR(VLOOKUP($A54,InvDump[#All],MATCH(N$3,InvDump[#Headers],0),FALSE),"-")</f>
        <v>-</v>
      </c>
      <c r="O54" s="64" t="str">
        <f>IFERROR(VLOOKUP($A54,InvDump[#All],MATCH(O$3,InvDump[#Headers],0),FALSE),"-")</f>
        <v>-</v>
      </c>
      <c r="P54" s="67" t="str">
        <f>IFERROR(VLOOKUP($A54,InvDump[#All],MATCH(P$3,InvDump[#Headers],0),FALSE),"")</f>
        <v/>
      </c>
      <c r="Q54" s="65" t="str">
        <f>IFERROR(VLOOKUP($A54,InvDump[#All],MATCH(Q$3,InvDump[#Headers],0),FALSE),"")</f>
        <v/>
      </c>
      <c r="R54" s="65" t="str">
        <f>IFERROR(IF(VLOOKUP($A54,InvDump[#All],MATCH(R$3,InvDump[#Headers],0),FALSE)=0,"",VLOOKUP($A54,InvDump[#All],MATCH(R$3,InvDump[#Headers],0),FALSE)),"")</f>
        <v/>
      </c>
      <c r="S54" s="66" t="str">
        <f>IFERROR(IF(InvDump[[#This Row],[Annexure]]="Yes",VLOOKUP($A54,InvDump[#All],20,FALSE)&amp;"; "&amp;VLOOKUP($A54,InvDump[#All],22,FALSE),VLOOKUP($A54,InvDump[#All],20,FALSE)),"")</f>
        <v/>
      </c>
    </row>
    <row r="55" spans="1:19" x14ac:dyDescent="0.3">
      <c r="A55" s="68"/>
      <c r="B55" s="61" t="str">
        <f>IFERROR(VLOOKUP($A55,InvDump[#All],MATCH(B$3,InvDump[#Headers],0),FALSE),"-")</f>
        <v>-</v>
      </c>
      <c r="C55" s="62" t="str">
        <f>IFERROR(VLOOKUP($A55,InvDump[#All],MATCH(C$3,InvDump[#Headers],0),FALSE),"-")</f>
        <v>-</v>
      </c>
      <c r="D55" s="61" t="str">
        <f>IFERROR(VLOOKUP($A55,InvDump[#All],MATCH(D$3,InvDump[#Headers],0),FALSE),"-")</f>
        <v>-</v>
      </c>
      <c r="E55" s="61" t="str">
        <f>IFERROR(VLOOKUP($A55,InvDump[#All],MATCH(E$3,InvDump[#Headers],0),FALSE),"-")</f>
        <v>-</v>
      </c>
      <c r="F55" s="61" t="str">
        <f>IFERROR(VLOOKUP($A55,InvDump[#All],MATCH(F$3,InvDump[#Headers],0),FALSE),"-")</f>
        <v>-</v>
      </c>
      <c r="G55" s="61" t="str">
        <f>IFERROR(VLOOKUP($A55,InvDump[#All],MATCH(G$3,InvDump[#Headers],0),FALSE),"-")</f>
        <v>-</v>
      </c>
      <c r="H55" s="63" t="str">
        <f>IFERROR(VLOOKUP(G55,CustomerData!$B$4:$D$13,3),"-")</f>
        <v>-</v>
      </c>
      <c r="I55" s="61" t="str">
        <f>IFERROR(VLOOKUP($A55,InvDump[#All],MATCH(I$3,InvDump[#Headers],0),FALSE),"-")</f>
        <v>-</v>
      </c>
      <c r="J55" s="61" t="str">
        <f>IFERROR(VLOOKUP($A55,InvDump[#All],MATCH(J$3,InvDump[#Headers],0),FALSE),"-")</f>
        <v>-</v>
      </c>
      <c r="K55" s="61" t="str">
        <f>IFERROR(VLOOKUP($A55,InvDump[#All],MATCH(K$3,InvDump[#Headers],0),FALSE),"-")</f>
        <v>-</v>
      </c>
      <c r="L55" s="64" t="str">
        <f>IFERROR(VLOOKUP($A55,InvDump[#All],MATCH(L$3,InvDump[#Headers],0),FALSE),"-")</f>
        <v>-</v>
      </c>
      <c r="M55" s="64" t="str">
        <f>IFERROR(VLOOKUP($A55,InvDump[#All],MATCH(M$3,InvDump[#Headers],0),FALSE),"-")</f>
        <v>-</v>
      </c>
      <c r="N55" s="64" t="str">
        <f>IFERROR(VLOOKUP($A55,InvDump[#All],MATCH(N$3,InvDump[#Headers],0),FALSE),"-")</f>
        <v>-</v>
      </c>
      <c r="O55" s="64" t="str">
        <f>IFERROR(VLOOKUP($A55,InvDump[#All],MATCH(O$3,InvDump[#Headers],0),FALSE),"-")</f>
        <v>-</v>
      </c>
      <c r="P55" s="67" t="str">
        <f>IFERROR(VLOOKUP($A55,InvDump[#All],MATCH(P$3,InvDump[#Headers],0),FALSE),"")</f>
        <v/>
      </c>
      <c r="Q55" s="65" t="str">
        <f>IFERROR(VLOOKUP($A55,InvDump[#All],MATCH(Q$3,InvDump[#Headers],0),FALSE),"")</f>
        <v/>
      </c>
      <c r="R55" s="65" t="str">
        <f>IFERROR(IF(VLOOKUP($A55,InvDump[#All],MATCH(R$3,InvDump[#Headers],0),FALSE)=0,"",VLOOKUP($A55,InvDump[#All],MATCH(R$3,InvDump[#Headers],0),FALSE)),"")</f>
        <v/>
      </c>
      <c r="S55" s="66" t="str">
        <f>IFERROR(IF(InvDump[[#This Row],[Annexure]]="Yes",VLOOKUP($A55,InvDump[#All],20,FALSE)&amp;"; "&amp;VLOOKUP($A55,InvDump[#All],22,FALSE),VLOOKUP($A55,InvDump[#All],20,FALSE)),"")</f>
        <v/>
      </c>
    </row>
    <row r="56" spans="1:19" x14ac:dyDescent="0.3">
      <c r="A56" s="68"/>
      <c r="B56" s="61" t="str">
        <f>IFERROR(VLOOKUP($A56,InvDump[#All],MATCH(B$3,InvDump[#Headers],0),FALSE),"-")</f>
        <v>-</v>
      </c>
      <c r="C56" s="62" t="str">
        <f>IFERROR(VLOOKUP($A56,InvDump[#All],MATCH(C$3,InvDump[#Headers],0),FALSE),"-")</f>
        <v>-</v>
      </c>
      <c r="D56" s="61" t="str">
        <f>IFERROR(VLOOKUP($A56,InvDump[#All],MATCH(D$3,InvDump[#Headers],0),FALSE),"-")</f>
        <v>-</v>
      </c>
      <c r="E56" s="61" t="str">
        <f>IFERROR(VLOOKUP($A56,InvDump[#All],MATCH(E$3,InvDump[#Headers],0),FALSE),"-")</f>
        <v>-</v>
      </c>
      <c r="F56" s="61" t="str">
        <f>IFERROR(VLOOKUP($A56,InvDump[#All],MATCH(F$3,InvDump[#Headers],0),FALSE),"-")</f>
        <v>-</v>
      </c>
      <c r="G56" s="61" t="str">
        <f>IFERROR(VLOOKUP($A56,InvDump[#All],MATCH(G$3,InvDump[#Headers],0),FALSE),"-")</f>
        <v>-</v>
      </c>
      <c r="H56" s="63" t="str">
        <f>IFERROR(VLOOKUP(G56,CustomerData!$B$4:$D$13,3),"-")</f>
        <v>-</v>
      </c>
      <c r="I56" s="61" t="str">
        <f>IFERROR(VLOOKUP($A56,InvDump[#All],MATCH(I$3,InvDump[#Headers],0),FALSE),"-")</f>
        <v>-</v>
      </c>
      <c r="J56" s="61" t="str">
        <f>IFERROR(VLOOKUP($A56,InvDump[#All],MATCH(J$3,InvDump[#Headers],0),FALSE),"-")</f>
        <v>-</v>
      </c>
      <c r="K56" s="61" t="str">
        <f>IFERROR(VLOOKUP($A56,InvDump[#All],MATCH(K$3,InvDump[#Headers],0),FALSE),"-")</f>
        <v>-</v>
      </c>
      <c r="L56" s="64" t="str">
        <f>IFERROR(VLOOKUP($A56,InvDump[#All],MATCH(L$3,InvDump[#Headers],0),FALSE),"-")</f>
        <v>-</v>
      </c>
      <c r="M56" s="64" t="str">
        <f>IFERROR(VLOOKUP($A56,InvDump[#All],MATCH(M$3,InvDump[#Headers],0),FALSE),"-")</f>
        <v>-</v>
      </c>
      <c r="N56" s="64" t="str">
        <f>IFERROR(VLOOKUP($A56,InvDump[#All],MATCH(N$3,InvDump[#Headers],0),FALSE),"-")</f>
        <v>-</v>
      </c>
      <c r="O56" s="64" t="str">
        <f>IFERROR(VLOOKUP($A56,InvDump[#All],MATCH(O$3,InvDump[#Headers],0),FALSE),"-")</f>
        <v>-</v>
      </c>
      <c r="P56" s="67" t="str">
        <f>IFERROR(VLOOKUP($A56,InvDump[#All],MATCH(P$3,InvDump[#Headers],0),FALSE),"")</f>
        <v/>
      </c>
      <c r="Q56" s="65" t="str">
        <f>IFERROR(VLOOKUP($A56,InvDump[#All],MATCH(Q$3,InvDump[#Headers],0),FALSE),"")</f>
        <v/>
      </c>
      <c r="R56" s="65" t="str">
        <f>IFERROR(IF(VLOOKUP($A56,InvDump[#All],MATCH(R$3,InvDump[#Headers],0),FALSE)=0,"",VLOOKUP($A56,InvDump[#All],MATCH(R$3,InvDump[#Headers],0),FALSE)),"")</f>
        <v/>
      </c>
      <c r="S56" s="66" t="str">
        <f>IFERROR(IF(InvDump[[#This Row],[Annexure]]="Yes",VLOOKUP($A56,InvDump[#All],20,FALSE)&amp;"; "&amp;VLOOKUP($A56,InvDump[#All],22,FALSE),VLOOKUP($A56,InvDump[#All],20,FALSE)),"")</f>
        <v/>
      </c>
    </row>
    <row r="57" spans="1:19" x14ac:dyDescent="0.3">
      <c r="A57" s="68"/>
      <c r="B57" s="61" t="str">
        <f>IFERROR(VLOOKUP($A57,InvDump[#All],MATCH(B$3,InvDump[#Headers],0),FALSE),"-")</f>
        <v>-</v>
      </c>
      <c r="C57" s="62" t="str">
        <f>IFERROR(VLOOKUP($A57,InvDump[#All],MATCH(C$3,InvDump[#Headers],0),FALSE),"-")</f>
        <v>-</v>
      </c>
      <c r="D57" s="61" t="str">
        <f>IFERROR(VLOOKUP($A57,InvDump[#All],MATCH(D$3,InvDump[#Headers],0),FALSE),"-")</f>
        <v>-</v>
      </c>
      <c r="E57" s="61" t="str">
        <f>IFERROR(VLOOKUP($A57,InvDump[#All],MATCH(E$3,InvDump[#Headers],0),FALSE),"-")</f>
        <v>-</v>
      </c>
      <c r="F57" s="61" t="str">
        <f>IFERROR(VLOOKUP($A57,InvDump[#All],MATCH(F$3,InvDump[#Headers],0),FALSE),"-")</f>
        <v>-</v>
      </c>
      <c r="G57" s="61" t="str">
        <f>IFERROR(VLOOKUP($A57,InvDump[#All],MATCH(G$3,InvDump[#Headers],0),FALSE),"-")</f>
        <v>-</v>
      </c>
      <c r="H57" s="63" t="str">
        <f>IFERROR(VLOOKUP(G57,CustomerData!$B$4:$D$13,3),"-")</f>
        <v>-</v>
      </c>
      <c r="I57" s="61" t="str">
        <f>IFERROR(VLOOKUP($A57,InvDump[#All],MATCH(I$3,InvDump[#Headers],0),FALSE),"-")</f>
        <v>-</v>
      </c>
      <c r="J57" s="61" t="str">
        <f>IFERROR(VLOOKUP($A57,InvDump[#All],MATCH(J$3,InvDump[#Headers],0),FALSE),"-")</f>
        <v>-</v>
      </c>
      <c r="K57" s="61" t="str">
        <f>IFERROR(VLOOKUP($A57,InvDump[#All],MATCH(K$3,InvDump[#Headers],0),FALSE),"-")</f>
        <v>-</v>
      </c>
      <c r="L57" s="64" t="str">
        <f>IFERROR(VLOOKUP($A57,InvDump[#All],MATCH(L$3,InvDump[#Headers],0),FALSE),"-")</f>
        <v>-</v>
      </c>
      <c r="M57" s="64" t="str">
        <f>IFERROR(VLOOKUP($A57,InvDump[#All],MATCH(M$3,InvDump[#Headers],0),FALSE),"-")</f>
        <v>-</v>
      </c>
      <c r="N57" s="64" t="str">
        <f>IFERROR(VLOOKUP($A57,InvDump[#All],MATCH(N$3,InvDump[#Headers],0),FALSE),"-")</f>
        <v>-</v>
      </c>
      <c r="O57" s="64" t="str">
        <f>IFERROR(VLOOKUP($A57,InvDump[#All],MATCH(O$3,InvDump[#Headers],0),FALSE),"-")</f>
        <v>-</v>
      </c>
      <c r="P57" s="67" t="str">
        <f>IFERROR(VLOOKUP($A57,InvDump[#All],MATCH(P$3,InvDump[#Headers],0),FALSE),"")</f>
        <v/>
      </c>
      <c r="Q57" s="65" t="str">
        <f>IFERROR(VLOOKUP($A57,InvDump[#All],MATCH(Q$3,InvDump[#Headers],0),FALSE),"")</f>
        <v/>
      </c>
      <c r="R57" s="65" t="str">
        <f>IFERROR(IF(VLOOKUP($A57,InvDump[#All],MATCH(R$3,InvDump[#Headers],0),FALSE)=0,"",VLOOKUP($A57,InvDump[#All],MATCH(R$3,InvDump[#Headers],0),FALSE)),"")</f>
        <v/>
      </c>
      <c r="S57" s="66" t="str">
        <f>IFERROR(IF(InvDump[[#This Row],[Annexure]]="Yes",VLOOKUP($A57,InvDump[#All],20,FALSE)&amp;"; "&amp;VLOOKUP($A57,InvDump[#All],22,FALSE),VLOOKUP($A57,InvDump[#All],20,FALSE)),"")</f>
        <v/>
      </c>
    </row>
    <row r="58" spans="1:19" x14ac:dyDescent="0.3">
      <c r="A58" s="68"/>
      <c r="B58" s="61" t="str">
        <f>IFERROR(VLOOKUP($A58,InvDump[#All],MATCH(B$3,InvDump[#Headers],0),FALSE),"-")</f>
        <v>-</v>
      </c>
      <c r="C58" s="62" t="str">
        <f>IFERROR(VLOOKUP($A58,InvDump[#All],MATCH(C$3,InvDump[#Headers],0),FALSE),"-")</f>
        <v>-</v>
      </c>
      <c r="D58" s="61" t="str">
        <f>IFERROR(VLOOKUP($A58,InvDump[#All],MATCH(D$3,InvDump[#Headers],0),FALSE),"-")</f>
        <v>-</v>
      </c>
      <c r="E58" s="61" t="str">
        <f>IFERROR(VLOOKUP($A58,InvDump[#All],MATCH(E$3,InvDump[#Headers],0),FALSE),"-")</f>
        <v>-</v>
      </c>
      <c r="F58" s="61" t="str">
        <f>IFERROR(VLOOKUP($A58,InvDump[#All],MATCH(F$3,InvDump[#Headers],0),FALSE),"-")</f>
        <v>-</v>
      </c>
      <c r="G58" s="61" t="str">
        <f>IFERROR(VLOOKUP($A58,InvDump[#All],MATCH(G$3,InvDump[#Headers],0),FALSE),"-")</f>
        <v>-</v>
      </c>
      <c r="H58" s="63" t="str">
        <f>IFERROR(VLOOKUP(G58,CustomerData!$B$4:$D$13,3),"-")</f>
        <v>-</v>
      </c>
      <c r="I58" s="61" t="str">
        <f>IFERROR(VLOOKUP($A58,InvDump[#All],MATCH(I$3,InvDump[#Headers],0),FALSE),"-")</f>
        <v>-</v>
      </c>
      <c r="J58" s="61" t="str">
        <f>IFERROR(VLOOKUP($A58,InvDump[#All],MATCH(J$3,InvDump[#Headers],0),FALSE),"-")</f>
        <v>-</v>
      </c>
      <c r="K58" s="61" t="str">
        <f>IFERROR(VLOOKUP($A58,InvDump[#All],MATCH(K$3,InvDump[#Headers],0),FALSE),"-")</f>
        <v>-</v>
      </c>
      <c r="L58" s="64" t="str">
        <f>IFERROR(VLOOKUP($A58,InvDump[#All],MATCH(L$3,InvDump[#Headers],0),FALSE),"-")</f>
        <v>-</v>
      </c>
      <c r="M58" s="64" t="str">
        <f>IFERROR(VLOOKUP($A58,InvDump[#All],MATCH(M$3,InvDump[#Headers],0),FALSE),"-")</f>
        <v>-</v>
      </c>
      <c r="N58" s="64" t="str">
        <f>IFERROR(VLOOKUP($A58,InvDump[#All],MATCH(N$3,InvDump[#Headers],0),FALSE),"-")</f>
        <v>-</v>
      </c>
      <c r="O58" s="64" t="str">
        <f>IFERROR(VLOOKUP($A58,InvDump[#All],MATCH(O$3,InvDump[#Headers],0),FALSE),"-")</f>
        <v>-</v>
      </c>
      <c r="P58" s="67" t="str">
        <f>IFERROR(VLOOKUP($A58,InvDump[#All],MATCH(P$3,InvDump[#Headers],0),FALSE),"")</f>
        <v/>
      </c>
      <c r="Q58" s="65" t="str">
        <f>IFERROR(VLOOKUP($A58,InvDump[#All],MATCH(Q$3,InvDump[#Headers],0),FALSE),"")</f>
        <v/>
      </c>
      <c r="R58" s="65" t="str">
        <f>IFERROR(IF(VLOOKUP($A58,InvDump[#All],MATCH(R$3,InvDump[#Headers],0),FALSE)=0,"",VLOOKUP($A58,InvDump[#All],MATCH(R$3,InvDump[#Headers],0),FALSE)),"")</f>
        <v/>
      </c>
      <c r="S58" s="66" t="str">
        <f>IFERROR(IF(InvDump[[#This Row],[Annexure]]="Yes",VLOOKUP($A58,InvDump[#All],20,FALSE)&amp;"; "&amp;VLOOKUP($A58,InvDump[#All],22,FALSE),VLOOKUP($A58,InvDump[#All],20,FALSE)),"")</f>
        <v/>
      </c>
    </row>
    <row r="59" spans="1:19" x14ac:dyDescent="0.3">
      <c r="A59" s="68"/>
      <c r="B59" s="61" t="str">
        <f>IFERROR(VLOOKUP($A59,InvDump[#All],MATCH(B$3,InvDump[#Headers],0),FALSE),"-")</f>
        <v>-</v>
      </c>
      <c r="C59" s="62" t="str">
        <f>IFERROR(VLOOKUP($A59,InvDump[#All],MATCH(C$3,InvDump[#Headers],0),FALSE),"-")</f>
        <v>-</v>
      </c>
      <c r="D59" s="61" t="str">
        <f>IFERROR(VLOOKUP($A59,InvDump[#All],MATCH(D$3,InvDump[#Headers],0),FALSE),"-")</f>
        <v>-</v>
      </c>
      <c r="E59" s="61" t="str">
        <f>IFERROR(VLOOKUP($A59,InvDump[#All],MATCH(E$3,InvDump[#Headers],0),FALSE),"-")</f>
        <v>-</v>
      </c>
      <c r="F59" s="61" t="str">
        <f>IFERROR(VLOOKUP($A59,InvDump[#All],MATCH(F$3,InvDump[#Headers],0),FALSE),"-")</f>
        <v>-</v>
      </c>
      <c r="G59" s="61" t="str">
        <f>IFERROR(VLOOKUP($A59,InvDump[#All],MATCH(G$3,InvDump[#Headers],0),FALSE),"-")</f>
        <v>-</v>
      </c>
      <c r="H59" s="63" t="str">
        <f>IFERROR(VLOOKUP(G59,CustomerData!$B$4:$D$13,3),"-")</f>
        <v>-</v>
      </c>
      <c r="I59" s="61" t="str">
        <f>IFERROR(VLOOKUP($A59,InvDump[#All],MATCH(I$3,InvDump[#Headers],0),FALSE),"-")</f>
        <v>-</v>
      </c>
      <c r="J59" s="61" t="str">
        <f>IFERROR(VLOOKUP($A59,InvDump[#All],MATCH(J$3,InvDump[#Headers],0),FALSE),"-")</f>
        <v>-</v>
      </c>
      <c r="K59" s="61" t="str">
        <f>IFERROR(VLOOKUP($A59,InvDump[#All],MATCH(K$3,InvDump[#Headers],0),FALSE),"-")</f>
        <v>-</v>
      </c>
      <c r="L59" s="64" t="str">
        <f>IFERROR(VLOOKUP($A59,InvDump[#All],MATCH(L$3,InvDump[#Headers],0),FALSE),"-")</f>
        <v>-</v>
      </c>
      <c r="M59" s="64" t="str">
        <f>IFERROR(VLOOKUP($A59,InvDump[#All],MATCH(M$3,InvDump[#Headers],0),FALSE),"-")</f>
        <v>-</v>
      </c>
      <c r="N59" s="64" t="str">
        <f>IFERROR(VLOOKUP($A59,InvDump[#All],MATCH(N$3,InvDump[#Headers],0),FALSE),"-")</f>
        <v>-</v>
      </c>
      <c r="O59" s="64" t="str">
        <f>IFERROR(VLOOKUP($A59,InvDump[#All],MATCH(O$3,InvDump[#Headers],0),FALSE),"-")</f>
        <v>-</v>
      </c>
      <c r="P59" s="67" t="str">
        <f>IFERROR(VLOOKUP($A59,InvDump[#All],MATCH(P$3,InvDump[#Headers],0),FALSE),"")</f>
        <v/>
      </c>
      <c r="Q59" s="65" t="str">
        <f>IFERROR(VLOOKUP($A59,InvDump[#All],MATCH(Q$3,InvDump[#Headers],0),FALSE),"")</f>
        <v/>
      </c>
      <c r="R59" s="65" t="str">
        <f>IFERROR(IF(VLOOKUP($A59,InvDump[#All],MATCH(R$3,InvDump[#Headers],0),FALSE)=0,"",VLOOKUP($A59,InvDump[#All],MATCH(R$3,InvDump[#Headers],0),FALSE)),"")</f>
        <v/>
      </c>
      <c r="S59" s="66" t="str">
        <f>IFERROR(IF(InvDump[[#This Row],[Annexure]]="Yes",VLOOKUP($A59,InvDump[#All],20,FALSE)&amp;"; "&amp;VLOOKUP($A59,InvDump[#All],22,FALSE),VLOOKUP($A59,InvDump[#All],20,FALSE)),"")</f>
        <v/>
      </c>
    </row>
    <row r="60" spans="1:19" x14ac:dyDescent="0.3">
      <c r="A60" s="68"/>
      <c r="B60" s="61" t="str">
        <f>IFERROR(VLOOKUP($A60,InvDump[#All],MATCH(B$3,InvDump[#Headers],0),FALSE),"-")</f>
        <v>-</v>
      </c>
      <c r="C60" s="62" t="str">
        <f>IFERROR(VLOOKUP($A60,InvDump[#All],MATCH(C$3,InvDump[#Headers],0),FALSE),"-")</f>
        <v>-</v>
      </c>
      <c r="D60" s="61" t="str">
        <f>IFERROR(VLOOKUP($A60,InvDump[#All],MATCH(D$3,InvDump[#Headers],0),FALSE),"-")</f>
        <v>-</v>
      </c>
      <c r="E60" s="61" t="str">
        <f>IFERROR(VLOOKUP($A60,InvDump[#All],MATCH(E$3,InvDump[#Headers],0),FALSE),"-")</f>
        <v>-</v>
      </c>
      <c r="F60" s="61" t="str">
        <f>IFERROR(VLOOKUP($A60,InvDump[#All],MATCH(F$3,InvDump[#Headers],0),FALSE),"-")</f>
        <v>-</v>
      </c>
      <c r="G60" s="61" t="str">
        <f>IFERROR(VLOOKUP($A60,InvDump[#All],MATCH(G$3,InvDump[#Headers],0),FALSE),"-")</f>
        <v>-</v>
      </c>
      <c r="H60" s="63" t="str">
        <f>IFERROR(VLOOKUP(G60,CustomerData!$B$4:$D$13,3),"-")</f>
        <v>-</v>
      </c>
      <c r="I60" s="61" t="str">
        <f>IFERROR(VLOOKUP($A60,InvDump[#All],MATCH(I$3,InvDump[#Headers],0),FALSE),"-")</f>
        <v>-</v>
      </c>
      <c r="J60" s="61" t="str">
        <f>IFERROR(VLOOKUP($A60,InvDump[#All],MATCH(J$3,InvDump[#Headers],0),FALSE),"-")</f>
        <v>-</v>
      </c>
      <c r="K60" s="61" t="str">
        <f>IFERROR(VLOOKUP($A60,InvDump[#All],MATCH(K$3,InvDump[#Headers],0),FALSE),"-")</f>
        <v>-</v>
      </c>
      <c r="L60" s="64" t="str">
        <f>IFERROR(VLOOKUP($A60,InvDump[#All],MATCH(L$3,InvDump[#Headers],0),FALSE),"-")</f>
        <v>-</v>
      </c>
      <c r="M60" s="64" t="str">
        <f>IFERROR(VLOOKUP($A60,InvDump[#All],MATCH(M$3,InvDump[#Headers],0),FALSE),"-")</f>
        <v>-</v>
      </c>
      <c r="N60" s="64" t="str">
        <f>IFERROR(VLOOKUP($A60,InvDump[#All],MATCH(N$3,InvDump[#Headers],0),FALSE),"-")</f>
        <v>-</v>
      </c>
      <c r="O60" s="64" t="str">
        <f>IFERROR(VLOOKUP($A60,InvDump[#All],MATCH(O$3,InvDump[#Headers],0),FALSE),"-")</f>
        <v>-</v>
      </c>
      <c r="P60" s="67" t="str">
        <f>IFERROR(VLOOKUP($A60,InvDump[#All],MATCH(P$3,InvDump[#Headers],0),FALSE),"")</f>
        <v/>
      </c>
      <c r="Q60" s="65" t="str">
        <f>IFERROR(VLOOKUP($A60,InvDump[#All],MATCH(Q$3,InvDump[#Headers],0),FALSE),"")</f>
        <v/>
      </c>
      <c r="R60" s="65" t="str">
        <f>IFERROR(IF(VLOOKUP($A60,InvDump[#All],MATCH(R$3,InvDump[#Headers],0),FALSE)=0,"",VLOOKUP($A60,InvDump[#All],MATCH(R$3,InvDump[#Headers],0),FALSE)),"")</f>
        <v/>
      </c>
      <c r="S60" s="66" t="str">
        <f>IFERROR(IF(InvDump[[#This Row],[Annexure]]="Yes",VLOOKUP($A60,InvDump[#All],20,FALSE)&amp;"; "&amp;VLOOKUP($A60,InvDump[#All],22,FALSE),VLOOKUP($A60,InvDump[#All],20,FALSE)),"")</f>
        <v/>
      </c>
    </row>
    <row r="61" spans="1:19" x14ac:dyDescent="0.3">
      <c r="A61" s="68"/>
      <c r="B61" s="61" t="str">
        <f>IFERROR(VLOOKUP($A61,InvDump[#All],MATCH(B$3,InvDump[#Headers],0),FALSE),"-")</f>
        <v>-</v>
      </c>
      <c r="C61" s="62" t="str">
        <f>IFERROR(VLOOKUP($A61,InvDump[#All],MATCH(C$3,InvDump[#Headers],0),FALSE),"-")</f>
        <v>-</v>
      </c>
      <c r="D61" s="61" t="str">
        <f>IFERROR(VLOOKUP($A61,InvDump[#All],MATCH(D$3,InvDump[#Headers],0),FALSE),"-")</f>
        <v>-</v>
      </c>
      <c r="E61" s="61" t="str">
        <f>IFERROR(VLOOKUP($A61,InvDump[#All],MATCH(E$3,InvDump[#Headers],0),FALSE),"-")</f>
        <v>-</v>
      </c>
      <c r="F61" s="61" t="str">
        <f>IFERROR(VLOOKUP($A61,InvDump[#All],MATCH(F$3,InvDump[#Headers],0),FALSE),"-")</f>
        <v>-</v>
      </c>
      <c r="G61" s="61" t="str">
        <f>IFERROR(VLOOKUP($A61,InvDump[#All],MATCH(G$3,InvDump[#Headers],0),FALSE),"-")</f>
        <v>-</v>
      </c>
      <c r="H61" s="63" t="str">
        <f>IFERROR(VLOOKUP(G61,CustomerData!$B$4:$D$13,3),"-")</f>
        <v>-</v>
      </c>
      <c r="I61" s="61" t="str">
        <f>IFERROR(VLOOKUP($A61,InvDump[#All],MATCH(I$3,InvDump[#Headers],0),FALSE),"-")</f>
        <v>-</v>
      </c>
      <c r="J61" s="61" t="str">
        <f>IFERROR(VLOOKUP($A61,InvDump[#All],MATCH(J$3,InvDump[#Headers],0),FALSE),"-")</f>
        <v>-</v>
      </c>
      <c r="K61" s="61" t="str">
        <f>IFERROR(VLOOKUP($A61,InvDump[#All],MATCH(K$3,InvDump[#Headers],0),FALSE),"-")</f>
        <v>-</v>
      </c>
      <c r="L61" s="64" t="str">
        <f>IFERROR(VLOOKUP($A61,InvDump[#All],MATCH(L$3,InvDump[#Headers],0),FALSE),"-")</f>
        <v>-</v>
      </c>
      <c r="M61" s="64" t="str">
        <f>IFERROR(VLOOKUP($A61,InvDump[#All],MATCH(M$3,InvDump[#Headers],0),FALSE),"-")</f>
        <v>-</v>
      </c>
      <c r="N61" s="64" t="str">
        <f>IFERROR(VLOOKUP($A61,InvDump[#All],MATCH(N$3,InvDump[#Headers],0),FALSE),"-")</f>
        <v>-</v>
      </c>
      <c r="O61" s="64" t="str">
        <f>IFERROR(VLOOKUP($A61,InvDump[#All],MATCH(O$3,InvDump[#Headers],0),FALSE),"-")</f>
        <v>-</v>
      </c>
      <c r="P61" s="67" t="str">
        <f>IFERROR(VLOOKUP($A61,InvDump[#All],MATCH(P$3,InvDump[#Headers],0),FALSE),"")</f>
        <v/>
      </c>
      <c r="Q61" s="65" t="str">
        <f>IFERROR(VLOOKUP($A61,InvDump[#All],MATCH(Q$3,InvDump[#Headers],0),FALSE),"")</f>
        <v/>
      </c>
      <c r="R61" s="65" t="str">
        <f>IFERROR(IF(VLOOKUP($A61,InvDump[#All],MATCH(R$3,InvDump[#Headers],0),FALSE)=0,"",VLOOKUP($A61,InvDump[#All],MATCH(R$3,InvDump[#Headers],0),FALSE)),"")</f>
        <v/>
      </c>
      <c r="S61" s="66" t="str">
        <f>IFERROR(IF(InvDump[[#This Row],[Annexure]]="Yes",VLOOKUP($A61,InvDump[#All],20,FALSE)&amp;"; "&amp;VLOOKUP($A61,InvDump[#All],22,FALSE),VLOOKUP($A61,InvDump[#All],20,FALSE)),"")</f>
        <v/>
      </c>
    </row>
    <row r="62" spans="1:19" x14ac:dyDescent="0.3">
      <c r="A62" s="68"/>
      <c r="B62" s="61" t="str">
        <f>IFERROR(VLOOKUP($A62,InvDump[#All],MATCH(B$3,InvDump[#Headers],0),FALSE),"-")</f>
        <v>-</v>
      </c>
      <c r="C62" s="62" t="str">
        <f>IFERROR(VLOOKUP($A62,InvDump[#All],MATCH(C$3,InvDump[#Headers],0),FALSE),"-")</f>
        <v>-</v>
      </c>
      <c r="D62" s="61" t="str">
        <f>IFERROR(VLOOKUP($A62,InvDump[#All],MATCH(D$3,InvDump[#Headers],0),FALSE),"-")</f>
        <v>-</v>
      </c>
      <c r="E62" s="61" t="str">
        <f>IFERROR(VLOOKUP($A62,InvDump[#All],MATCH(E$3,InvDump[#Headers],0),FALSE),"-")</f>
        <v>-</v>
      </c>
      <c r="F62" s="61" t="str">
        <f>IFERROR(VLOOKUP($A62,InvDump[#All],MATCH(F$3,InvDump[#Headers],0),FALSE),"-")</f>
        <v>-</v>
      </c>
      <c r="G62" s="61" t="str">
        <f>IFERROR(VLOOKUP($A62,InvDump[#All],MATCH(G$3,InvDump[#Headers],0),FALSE),"-")</f>
        <v>-</v>
      </c>
      <c r="H62" s="63" t="str">
        <f>IFERROR(VLOOKUP(G62,CustomerData!$B$4:$D$13,3),"-")</f>
        <v>-</v>
      </c>
      <c r="I62" s="61" t="str">
        <f>IFERROR(VLOOKUP($A62,InvDump[#All],MATCH(I$3,InvDump[#Headers],0),FALSE),"-")</f>
        <v>-</v>
      </c>
      <c r="J62" s="61" t="str">
        <f>IFERROR(VLOOKUP($A62,InvDump[#All],MATCH(J$3,InvDump[#Headers],0),FALSE),"-")</f>
        <v>-</v>
      </c>
      <c r="K62" s="61" t="str">
        <f>IFERROR(VLOOKUP($A62,InvDump[#All],MATCH(K$3,InvDump[#Headers],0),FALSE),"-")</f>
        <v>-</v>
      </c>
      <c r="L62" s="64" t="str">
        <f>IFERROR(VLOOKUP($A62,InvDump[#All],MATCH(L$3,InvDump[#Headers],0),FALSE),"-")</f>
        <v>-</v>
      </c>
      <c r="M62" s="64" t="str">
        <f>IFERROR(VLOOKUP($A62,InvDump[#All],MATCH(M$3,InvDump[#Headers],0),FALSE),"-")</f>
        <v>-</v>
      </c>
      <c r="N62" s="64" t="str">
        <f>IFERROR(VLOOKUP($A62,InvDump[#All],MATCH(N$3,InvDump[#Headers],0),FALSE),"-")</f>
        <v>-</v>
      </c>
      <c r="O62" s="64" t="str">
        <f>IFERROR(VLOOKUP($A62,InvDump[#All],MATCH(O$3,InvDump[#Headers],0),FALSE),"-")</f>
        <v>-</v>
      </c>
      <c r="P62" s="67" t="str">
        <f>IFERROR(VLOOKUP($A62,InvDump[#All],MATCH(P$3,InvDump[#Headers],0),FALSE),"")</f>
        <v/>
      </c>
      <c r="Q62" s="65" t="str">
        <f>IFERROR(VLOOKUP($A62,InvDump[#All],MATCH(Q$3,InvDump[#Headers],0),FALSE),"")</f>
        <v/>
      </c>
      <c r="R62" s="65" t="str">
        <f>IFERROR(IF(VLOOKUP($A62,InvDump[#All],MATCH(R$3,InvDump[#Headers],0),FALSE)=0,"",VLOOKUP($A62,InvDump[#All],MATCH(R$3,InvDump[#Headers],0),FALSE)),"")</f>
        <v/>
      </c>
      <c r="S62" s="66" t="str">
        <f>IFERROR(IF(InvDump[[#This Row],[Annexure]]="Yes",VLOOKUP($A62,InvDump[#All],20,FALSE)&amp;"; "&amp;VLOOKUP($A62,InvDump[#All],22,FALSE),VLOOKUP($A62,InvDump[#All],20,FALSE)),"")</f>
        <v/>
      </c>
    </row>
    <row r="63" spans="1:19" x14ac:dyDescent="0.3">
      <c r="A63" s="68"/>
      <c r="B63" s="61" t="str">
        <f>IFERROR(VLOOKUP($A63,InvDump[#All],MATCH(B$3,InvDump[#Headers],0),FALSE),"-")</f>
        <v>-</v>
      </c>
      <c r="C63" s="62" t="str">
        <f>IFERROR(VLOOKUP($A63,InvDump[#All],MATCH(C$3,InvDump[#Headers],0),FALSE),"-")</f>
        <v>-</v>
      </c>
      <c r="D63" s="61" t="str">
        <f>IFERROR(VLOOKUP($A63,InvDump[#All],MATCH(D$3,InvDump[#Headers],0),FALSE),"-")</f>
        <v>-</v>
      </c>
      <c r="E63" s="61" t="str">
        <f>IFERROR(VLOOKUP($A63,InvDump[#All],MATCH(E$3,InvDump[#Headers],0),FALSE),"-")</f>
        <v>-</v>
      </c>
      <c r="F63" s="61" t="str">
        <f>IFERROR(VLOOKUP($A63,InvDump[#All],MATCH(F$3,InvDump[#Headers],0),FALSE),"-")</f>
        <v>-</v>
      </c>
      <c r="G63" s="61" t="str">
        <f>IFERROR(VLOOKUP($A63,InvDump[#All],MATCH(G$3,InvDump[#Headers],0),FALSE),"-")</f>
        <v>-</v>
      </c>
      <c r="H63" s="63" t="str">
        <f>IFERROR(VLOOKUP(G63,CustomerData!$B$4:$D$13,3),"-")</f>
        <v>-</v>
      </c>
      <c r="I63" s="61" t="str">
        <f>IFERROR(VLOOKUP($A63,InvDump[#All],MATCH(I$3,InvDump[#Headers],0),FALSE),"-")</f>
        <v>-</v>
      </c>
      <c r="J63" s="61" t="str">
        <f>IFERROR(VLOOKUP($A63,InvDump[#All],MATCH(J$3,InvDump[#Headers],0),FALSE),"-")</f>
        <v>-</v>
      </c>
      <c r="K63" s="61" t="str">
        <f>IFERROR(VLOOKUP($A63,InvDump[#All],MATCH(K$3,InvDump[#Headers],0),FALSE),"-")</f>
        <v>-</v>
      </c>
      <c r="L63" s="64" t="str">
        <f>IFERROR(VLOOKUP($A63,InvDump[#All],MATCH(L$3,InvDump[#Headers],0),FALSE),"-")</f>
        <v>-</v>
      </c>
      <c r="M63" s="64" t="str">
        <f>IFERROR(VLOOKUP($A63,InvDump[#All],MATCH(M$3,InvDump[#Headers],0),FALSE),"-")</f>
        <v>-</v>
      </c>
      <c r="N63" s="64" t="str">
        <f>IFERROR(VLOOKUP($A63,InvDump[#All],MATCH(N$3,InvDump[#Headers],0),FALSE),"-")</f>
        <v>-</v>
      </c>
      <c r="O63" s="64" t="str">
        <f>IFERROR(VLOOKUP($A63,InvDump[#All],MATCH(O$3,InvDump[#Headers],0),FALSE),"-")</f>
        <v>-</v>
      </c>
      <c r="P63" s="67" t="str">
        <f>IFERROR(VLOOKUP($A63,InvDump[#All],MATCH(P$3,InvDump[#Headers],0),FALSE),"")</f>
        <v/>
      </c>
      <c r="Q63" s="65" t="str">
        <f>IFERROR(VLOOKUP($A63,InvDump[#All],MATCH(Q$3,InvDump[#Headers],0),FALSE),"")</f>
        <v/>
      </c>
      <c r="R63" s="65" t="str">
        <f>IFERROR(IF(VLOOKUP($A63,InvDump[#All],MATCH(R$3,InvDump[#Headers],0),FALSE)=0,"",VLOOKUP($A63,InvDump[#All],MATCH(R$3,InvDump[#Headers],0),FALSE)),"")</f>
        <v/>
      </c>
      <c r="S63" s="66" t="str">
        <f>IFERROR(IF(InvDump[[#This Row],[Annexure]]="Yes",VLOOKUP($A63,InvDump[#All],20,FALSE)&amp;"; "&amp;VLOOKUP($A63,InvDump[#All],22,FALSE),VLOOKUP($A63,InvDump[#All],20,FALSE)),"")</f>
        <v/>
      </c>
    </row>
    <row r="64" spans="1:19" x14ac:dyDescent="0.3">
      <c r="A64" s="68"/>
      <c r="B64" s="61" t="str">
        <f>IFERROR(VLOOKUP($A64,InvDump[#All],MATCH(B$3,InvDump[#Headers],0),FALSE),"-")</f>
        <v>-</v>
      </c>
      <c r="C64" s="62" t="str">
        <f>IFERROR(VLOOKUP($A64,InvDump[#All],MATCH(C$3,InvDump[#Headers],0),FALSE),"-")</f>
        <v>-</v>
      </c>
      <c r="D64" s="61" t="str">
        <f>IFERROR(VLOOKUP($A64,InvDump[#All],MATCH(D$3,InvDump[#Headers],0),FALSE),"-")</f>
        <v>-</v>
      </c>
      <c r="E64" s="61" t="str">
        <f>IFERROR(VLOOKUP($A64,InvDump[#All],MATCH(E$3,InvDump[#Headers],0),FALSE),"-")</f>
        <v>-</v>
      </c>
      <c r="F64" s="61" t="str">
        <f>IFERROR(VLOOKUP($A64,InvDump[#All],MATCH(F$3,InvDump[#Headers],0),FALSE),"-")</f>
        <v>-</v>
      </c>
      <c r="G64" s="61" t="str">
        <f>IFERROR(VLOOKUP($A64,InvDump[#All],MATCH(G$3,InvDump[#Headers],0),FALSE),"-")</f>
        <v>-</v>
      </c>
      <c r="H64" s="63" t="str">
        <f>IFERROR(VLOOKUP(G64,CustomerData!$B$4:$D$13,3),"-")</f>
        <v>-</v>
      </c>
      <c r="I64" s="61" t="str">
        <f>IFERROR(VLOOKUP($A64,InvDump[#All],MATCH(I$3,InvDump[#Headers],0),FALSE),"-")</f>
        <v>-</v>
      </c>
      <c r="J64" s="61" t="str">
        <f>IFERROR(VLOOKUP($A64,InvDump[#All],MATCH(J$3,InvDump[#Headers],0),FALSE),"-")</f>
        <v>-</v>
      </c>
      <c r="K64" s="61" t="str">
        <f>IFERROR(VLOOKUP($A64,InvDump[#All],MATCH(K$3,InvDump[#Headers],0),FALSE),"-")</f>
        <v>-</v>
      </c>
      <c r="L64" s="64" t="str">
        <f>IFERROR(VLOOKUP($A64,InvDump[#All],MATCH(L$3,InvDump[#Headers],0),FALSE),"-")</f>
        <v>-</v>
      </c>
      <c r="M64" s="64" t="str">
        <f>IFERROR(VLOOKUP($A64,InvDump[#All],MATCH(M$3,InvDump[#Headers],0),FALSE),"-")</f>
        <v>-</v>
      </c>
      <c r="N64" s="64" t="str">
        <f>IFERROR(VLOOKUP($A64,InvDump[#All],MATCH(N$3,InvDump[#Headers],0),FALSE),"-")</f>
        <v>-</v>
      </c>
      <c r="O64" s="64" t="str">
        <f>IFERROR(VLOOKUP($A64,InvDump[#All],MATCH(O$3,InvDump[#Headers],0),FALSE),"-")</f>
        <v>-</v>
      </c>
      <c r="P64" s="67" t="str">
        <f>IFERROR(VLOOKUP($A64,InvDump[#All],MATCH(P$3,InvDump[#Headers],0),FALSE),"")</f>
        <v/>
      </c>
      <c r="Q64" s="65" t="str">
        <f>IFERROR(VLOOKUP($A64,InvDump[#All],MATCH(Q$3,InvDump[#Headers],0),FALSE),"")</f>
        <v/>
      </c>
      <c r="R64" s="65" t="str">
        <f>IFERROR(IF(VLOOKUP($A64,InvDump[#All],MATCH(R$3,InvDump[#Headers],0),FALSE)=0,"",VLOOKUP($A64,InvDump[#All],MATCH(R$3,InvDump[#Headers],0),FALSE)),"")</f>
        <v/>
      </c>
      <c r="S64" s="66" t="str">
        <f>IFERROR(IF(InvDump[[#This Row],[Annexure]]="Yes",VLOOKUP($A64,InvDump[#All],20,FALSE)&amp;"; "&amp;VLOOKUP($A64,InvDump[#All],22,FALSE),VLOOKUP($A64,InvDump[#All],20,FALSE)),"")</f>
        <v/>
      </c>
    </row>
    <row r="65" spans="1:19" x14ac:dyDescent="0.3">
      <c r="A65" s="68"/>
      <c r="B65" s="61" t="str">
        <f>IFERROR(VLOOKUP($A65,InvDump[#All],MATCH(B$3,InvDump[#Headers],0),FALSE),"-")</f>
        <v>-</v>
      </c>
      <c r="C65" s="62" t="str">
        <f>IFERROR(VLOOKUP($A65,InvDump[#All],MATCH(C$3,InvDump[#Headers],0),FALSE),"-")</f>
        <v>-</v>
      </c>
      <c r="D65" s="61" t="str">
        <f>IFERROR(VLOOKUP($A65,InvDump[#All],MATCH(D$3,InvDump[#Headers],0),FALSE),"-")</f>
        <v>-</v>
      </c>
      <c r="E65" s="61" t="str">
        <f>IFERROR(VLOOKUP($A65,InvDump[#All],MATCH(E$3,InvDump[#Headers],0),FALSE),"-")</f>
        <v>-</v>
      </c>
      <c r="F65" s="61" t="str">
        <f>IFERROR(VLOOKUP($A65,InvDump[#All],MATCH(F$3,InvDump[#Headers],0),FALSE),"-")</f>
        <v>-</v>
      </c>
      <c r="G65" s="61" t="str">
        <f>IFERROR(VLOOKUP($A65,InvDump[#All],MATCH(G$3,InvDump[#Headers],0),FALSE),"-")</f>
        <v>-</v>
      </c>
      <c r="H65" s="63" t="str">
        <f>IFERROR(VLOOKUP(G65,CustomerData!$B$4:$D$13,3),"-")</f>
        <v>-</v>
      </c>
      <c r="I65" s="61" t="str">
        <f>IFERROR(VLOOKUP($A65,InvDump[#All],MATCH(I$3,InvDump[#Headers],0),FALSE),"-")</f>
        <v>-</v>
      </c>
      <c r="J65" s="61" t="str">
        <f>IFERROR(VLOOKUP($A65,InvDump[#All],MATCH(J$3,InvDump[#Headers],0),FALSE),"-")</f>
        <v>-</v>
      </c>
      <c r="K65" s="61" t="str">
        <f>IFERROR(VLOOKUP($A65,InvDump[#All],MATCH(K$3,InvDump[#Headers],0),FALSE),"-")</f>
        <v>-</v>
      </c>
      <c r="L65" s="64" t="str">
        <f>IFERROR(VLOOKUP($A65,InvDump[#All],MATCH(L$3,InvDump[#Headers],0),FALSE),"-")</f>
        <v>-</v>
      </c>
      <c r="M65" s="64" t="str">
        <f>IFERROR(VLOOKUP($A65,InvDump[#All],MATCH(M$3,InvDump[#Headers],0),FALSE),"-")</f>
        <v>-</v>
      </c>
      <c r="N65" s="64" t="str">
        <f>IFERROR(VLOOKUP($A65,InvDump[#All],MATCH(N$3,InvDump[#Headers],0),FALSE),"-")</f>
        <v>-</v>
      </c>
      <c r="O65" s="64" t="str">
        <f>IFERROR(VLOOKUP($A65,InvDump[#All],MATCH(O$3,InvDump[#Headers],0),FALSE),"-")</f>
        <v>-</v>
      </c>
      <c r="P65" s="67" t="str">
        <f>IFERROR(VLOOKUP($A65,InvDump[#All],MATCH(P$3,InvDump[#Headers],0),FALSE),"")</f>
        <v/>
      </c>
      <c r="Q65" s="65" t="str">
        <f>IFERROR(VLOOKUP($A65,InvDump[#All],MATCH(Q$3,InvDump[#Headers],0),FALSE),"")</f>
        <v/>
      </c>
      <c r="R65" s="65" t="str">
        <f>IFERROR(IF(VLOOKUP($A65,InvDump[#All],MATCH(R$3,InvDump[#Headers],0),FALSE)=0,"",VLOOKUP($A65,InvDump[#All],MATCH(R$3,InvDump[#Headers],0),FALSE)),"")</f>
        <v/>
      </c>
      <c r="S65" s="66" t="str">
        <f>IFERROR(IF(InvDump[[#This Row],[Annexure]]="Yes",VLOOKUP($A65,InvDump[#All],20,FALSE)&amp;"; "&amp;VLOOKUP($A65,InvDump[#All],22,FALSE),VLOOKUP($A65,InvDump[#All],20,FALSE)),"")</f>
        <v/>
      </c>
    </row>
    <row r="66" spans="1:19" x14ac:dyDescent="0.3">
      <c r="A66" s="68"/>
      <c r="B66" s="61" t="str">
        <f>IFERROR(VLOOKUP($A66,InvDump[#All],MATCH(B$3,InvDump[#Headers],0),FALSE),"-")</f>
        <v>-</v>
      </c>
      <c r="C66" s="62" t="str">
        <f>IFERROR(VLOOKUP($A66,InvDump[#All],MATCH(C$3,InvDump[#Headers],0),FALSE),"-")</f>
        <v>-</v>
      </c>
      <c r="D66" s="61" t="str">
        <f>IFERROR(VLOOKUP($A66,InvDump[#All],MATCH(D$3,InvDump[#Headers],0),FALSE),"-")</f>
        <v>-</v>
      </c>
      <c r="E66" s="61" t="str">
        <f>IFERROR(VLOOKUP($A66,InvDump[#All],MATCH(E$3,InvDump[#Headers],0),FALSE),"-")</f>
        <v>-</v>
      </c>
      <c r="F66" s="61" t="str">
        <f>IFERROR(VLOOKUP($A66,InvDump[#All],MATCH(F$3,InvDump[#Headers],0),FALSE),"-")</f>
        <v>-</v>
      </c>
      <c r="G66" s="61" t="str">
        <f>IFERROR(VLOOKUP($A66,InvDump[#All],MATCH(G$3,InvDump[#Headers],0),FALSE),"-")</f>
        <v>-</v>
      </c>
      <c r="H66" s="63" t="str">
        <f>IFERROR(VLOOKUP(G66,CustomerData!$B$4:$D$13,3),"-")</f>
        <v>-</v>
      </c>
      <c r="I66" s="61" t="str">
        <f>IFERROR(VLOOKUP($A66,InvDump[#All],MATCH(I$3,InvDump[#Headers],0),FALSE),"-")</f>
        <v>-</v>
      </c>
      <c r="J66" s="61" t="str">
        <f>IFERROR(VLOOKUP($A66,InvDump[#All],MATCH(J$3,InvDump[#Headers],0),FALSE),"-")</f>
        <v>-</v>
      </c>
      <c r="K66" s="61" t="str">
        <f>IFERROR(VLOOKUP($A66,InvDump[#All],MATCH(K$3,InvDump[#Headers],0),FALSE),"-")</f>
        <v>-</v>
      </c>
      <c r="L66" s="64" t="str">
        <f>IFERROR(VLOOKUP($A66,InvDump[#All],MATCH(L$3,InvDump[#Headers],0),FALSE),"-")</f>
        <v>-</v>
      </c>
      <c r="M66" s="64" t="str">
        <f>IFERROR(VLOOKUP($A66,InvDump[#All],MATCH(M$3,InvDump[#Headers],0),FALSE),"-")</f>
        <v>-</v>
      </c>
      <c r="N66" s="64" t="str">
        <f>IFERROR(VLOOKUP($A66,InvDump[#All],MATCH(N$3,InvDump[#Headers],0),FALSE),"-")</f>
        <v>-</v>
      </c>
      <c r="O66" s="64" t="str">
        <f>IFERROR(VLOOKUP($A66,InvDump[#All],MATCH(O$3,InvDump[#Headers],0),FALSE),"-")</f>
        <v>-</v>
      </c>
      <c r="P66" s="67" t="str">
        <f>IFERROR(VLOOKUP($A66,InvDump[#All],MATCH(P$3,InvDump[#Headers],0),FALSE),"")</f>
        <v/>
      </c>
      <c r="Q66" s="65" t="str">
        <f>IFERROR(VLOOKUP($A66,InvDump[#All],MATCH(Q$3,InvDump[#Headers],0),FALSE),"")</f>
        <v/>
      </c>
      <c r="R66" s="65" t="str">
        <f>IFERROR(IF(VLOOKUP($A66,InvDump[#All],MATCH(R$3,InvDump[#Headers],0),FALSE)=0,"",VLOOKUP($A66,InvDump[#All],MATCH(R$3,InvDump[#Headers],0),FALSE)),"")</f>
        <v/>
      </c>
      <c r="S66" s="66" t="str">
        <f>IFERROR(IF(InvDump[[#This Row],[Annexure]]="Yes",VLOOKUP($A66,InvDump[#All],20,FALSE)&amp;"; "&amp;VLOOKUP($A66,InvDump[#All],22,FALSE),VLOOKUP($A66,InvDump[#All],20,FALSE)),"")</f>
        <v/>
      </c>
    </row>
    <row r="67" spans="1:19" x14ac:dyDescent="0.3">
      <c r="A67" s="68"/>
      <c r="B67" s="61" t="str">
        <f>IFERROR(VLOOKUP($A67,InvDump[#All],MATCH(B$3,InvDump[#Headers],0),FALSE),"-")</f>
        <v>-</v>
      </c>
      <c r="C67" s="62" t="str">
        <f>IFERROR(VLOOKUP($A67,InvDump[#All],MATCH(C$3,InvDump[#Headers],0),FALSE),"-")</f>
        <v>-</v>
      </c>
      <c r="D67" s="61" t="str">
        <f>IFERROR(VLOOKUP($A67,InvDump[#All],MATCH(D$3,InvDump[#Headers],0),FALSE),"-")</f>
        <v>-</v>
      </c>
      <c r="E67" s="61" t="str">
        <f>IFERROR(VLOOKUP($A67,InvDump[#All],MATCH(E$3,InvDump[#Headers],0),FALSE),"-")</f>
        <v>-</v>
      </c>
      <c r="F67" s="61" t="str">
        <f>IFERROR(VLOOKUP($A67,InvDump[#All],MATCH(F$3,InvDump[#Headers],0),FALSE),"-")</f>
        <v>-</v>
      </c>
      <c r="G67" s="61" t="str">
        <f>IFERROR(VLOOKUP($A67,InvDump[#All],MATCH(G$3,InvDump[#Headers],0),FALSE),"-")</f>
        <v>-</v>
      </c>
      <c r="H67" s="63" t="str">
        <f>IFERROR(VLOOKUP(G67,CustomerData!$B$4:$D$13,3),"-")</f>
        <v>-</v>
      </c>
      <c r="I67" s="61" t="str">
        <f>IFERROR(VLOOKUP($A67,InvDump[#All],MATCH(I$3,InvDump[#Headers],0),FALSE),"-")</f>
        <v>-</v>
      </c>
      <c r="J67" s="61" t="str">
        <f>IFERROR(VLOOKUP($A67,InvDump[#All],MATCH(J$3,InvDump[#Headers],0),FALSE),"-")</f>
        <v>-</v>
      </c>
      <c r="K67" s="61" t="str">
        <f>IFERROR(VLOOKUP($A67,InvDump[#All],MATCH(K$3,InvDump[#Headers],0),FALSE),"-")</f>
        <v>-</v>
      </c>
      <c r="L67" s="64" t="str">
        <f>IFERROR(VLOOKUP($A67,InvDump[#All],MATCH(L$3,InvDump[#Headers],0),FALSE),"-")</f>
        <v>-</v>
      </c>
      <c r="M67" s="64" t="str">
        <f>IFERROR(VLOOKUP($A67,InvDump[#All],MATCH(M$3,InvDump[#Headers],0),FALSE),"-")</f>
        <v>-</v>
      </c>
      <c r="N67" s="64" t="str">
        <f>IFERROR(VLOOKUP($A67,InvDump[#All],MATCH(N$3,InvDump[#Headers],0),FALSE),"-")</f>
        <v>-</v>
      </c>
      <c r="O67" s="64" t="str">
        <f>IFERROR(VLOOKUP($A67,InvDump[#All],MATCH(O$3,InvDump[#Headers],0),FALSE),"-")</f>
        <v>-</v>
      </c>
      <c r="P67" s="67" t="str">
        <f>IFERROR(VLOOKUP($A67,InvDump[#All],MATCH(P$3,InvDump[#Headers],0),FALSE),"")</f>
        <v/>
      </c>
      <c r="Q67" s="65" t="str">
        <f>IFERROR(VLOOKUP($A67,InvDump[#All],MATCH(Q$3,InvDump[#Headers],0),FALSE),"")</f>
        <v/>
      </c>
      <c r="R67" s="65" t="str">
        <f>IFERROR(IF(VLOOKUP($A67,InvDump[#All],MATCH(R$3,InvDump[#Headers],0),FALSE)=0,"",VLOOKUP($A67,InvDump[#All],MATCH(R$3,InvDump[#Headers],0),FALSE)),"")</f>
        <v/>
      </c>
      <c r="S67" s="66" t="str">
        <f>IFERROR(IF(InvDump[[#This Row],[Annexure]]="Yes",VLOOKUP($A67,InvDump[#All],20,FALSE)&amp;"; "&amp;VLOOKUP($A67,InvDump[#All],22,FALSE),VLOOKUP($A67,InvDump[#All],20,FALSE)),"")</f>
        <v/>
      </c>
    </row>
    <row r="68" spans="1:19" x14ac:dyDescent="0.3">
      <c r="A68" s="68"/>
      <c r="B68" s="61" t="str">
        <f>IFERROR(VLOOKUP($A68,InvDump[#All],MATCH(B$3,InvDump[#Headers],0),FALSE),"-")</f>
        <v>-</v>
      </c>
      <c r="C68" s="62" t="str">
        <f>IFERROR(VLOOKUP($A68,InvDump[#All],MATCH(C$3,InvDump[#Headers],0),FALSE),"-")</f>
        <v>-</v>
      </c>
      <c r="D68" s="61" t="str">
        <f>IFERROR(VLOOKUP($A68,InvDump[#All],MATCH(D$3,InvDump[#Headers],0),FALSE),"-")</f>
        <v>-</v>
      </c>
      <c r="E68" s="61" t="str">
        <f>IFERROR(VLOOKUP($A68,InvDump[#All],MATCH(E$3,InvDump[#Headers],0),FALSE),"-")</f>
        <v>-</v>
      </c>
      <c r="F68" s="61" t="str">
        <f>IFERROR(VLOOKUP($A68,InvDump[#All],MATCH(F$3,InvDump[#Headers],0),FALSE),"-")</f>
        <v>-</v>
      </c>
      <c r="G68" s="61" t="str">
        <f>IFERROR(VLOOKUP($A68,InvDump[#All],MATCH(G$3,InvDump[#Headers],0),FALSE),"-")</f>
        <v>-</v>
      </c>
      <c r="H68" s="63" t="str">
        <f>IFERROR(VLOOKUP(G68,CustomerData!$B$4:$D$13,3),"-")</f>
        <v>-</v>
      </c>
      <c r="I68" s="61" t="str">
        <f>IFERROR(VLOOKUP($A68,InvDump[#All],MATCH(I$3,InvDump[#Headers],0),FALSE),"-")</f>
        <v>-</v>
      </c>
      <c r="J68" s="61" t="str">
        <f>IFERROR(VLOOKUP($A68,InvDump[#All],MATCH(J$3,InvDump[#Headers],0),FALSE),"-")</f>
        <v>-</v>
      </c>
      <c r="K68" s="61" t="str">
        <f>IFERROR(VLOOKUP($A68,InvDump[#All],MATCH(K$3,InvDump[#Headers],0),FALSE),"-")</f>
        <v>-</v>
      </c>
      <c r="L68" s="64" t="str">
        <f>IFERROR(VLOOKUP($A68,InvDump[#All],MATCH(L$3,InvDump[#Headers],0),FALSE),"-")</f>
        <v>-</v>
      </c>
      <c r="M68" s="64" t="str">
        <f>IFERROR(VLOOKUP($A68,InvDump[#All],MATCH(M$3,InvDump[#Headers],0),FALSE),"-")</f>
        <v>-</v>
      </c>
      <c r="N68" s="64" t="str">
        <f>IFERROR(VLOOKUP($A68,InvDump[#All],MATCH(N$3,InvDump[#Headers],0),FALSE),"-")</f>
        <v>-</v>
      </c>
      <c r="O68" s="64" t="str">
        <f>IFERROR(VLOOKUP($A68,InvDump[#All],MATCH(O$3,InvDump[#Headers],0),FALSE),"-")</f>
        <v>-</v>
      </c>
      <c r="P68" s="67" t="str">
        <f>IFERROR(VLOOKUP($A68,InvDump[#All],MATCH(P$3,InvDump[#Headers],0),FALSE),"")</f>
        <v/>
      </c>
      <c r="Q68" s="65" t="str">
        <f>IFERROR(VLOOKUP($A68,InvDump[#All],MATCH(Q$3,InvDump[#Headers],0),FALSE),"")</f>
        <v/>
      </c>
      <c r="R68" s="65" t="str">
        <f>IFERROR(IF(VLOOKUP($A68,InvDump[#All],MATCH(R$3,InvDump[#Headers],0),FALSE)=0,"",VLOOKUP($A68,InvDump[#All],MATCH(R$3,InvDump[#Headers],0),FALSE)),"")</f>
        <v/>
      </c>
      <c r="S68" s="66" t="str">
        <f>IFERROR(IF(InvDump[[#This Row],[Annexure]]="Yes",VLOOKUP($A68,InvDump[#All],20,FALSE)&amp;"; "&amp;VLOOKUP($A68,InvDump[#All],22,FALSE),VLOOKUP($A68,InvDump[#All],20,FALSE)),"")</f>
        <v/>
      </c>
    </row>
    <row r="69" spans="1:19" x14ac:dyDescent="0.3">
      <c r="A69" s="68"/>
      <c r="B69" s="61" t="str">
        <f>IFERROR(VLOOKUP($A69,InvDump[#All],MATCH(B$3,InvDump[#Headers],0),FALSE),"-")</f>
        <v>-</v>
      </c>
      <c r="C69" s="62" t="str">
        <f>IFERROR(VLOOKUP($A69,InvDump[#All],MATCH(C$3,InvDump[#Headers],0),FALSE),"-")</f>
        <v>-</v>
      </c>
      <c r="D69" s="61" t="str">
        <f>IFERROR(VLOOKUP($A69,InvDump[#All],MATCH(D$3,InvDump[#Headers],0),FALSE),"-")</f>
        <v>-</v>
      </c>
      <c r="E69" s="61" t="str">
        <f>IFERROR(VLOOKUP($A69,InvDump[#All],MATCH(E$3,InvDump[#Headers],0),FALSE),"-")</f>
        <v>-</v>
      </c>
      <c r="F69" s="61" t="str">
        <f>IFERROR(VLOOKUP($A69,InvDump[#All],MATCH(F$3,InvDump[#Headers],0),FALSE),"-")</f>
        <v>-</v>
      </c>
      <c r="G69" s="61" t="str">
        <f>IFERROR(VLOOKUP($A69,InvDump[#All],MATCH(G$3,InvDump[#Headers],0),FALSE),"-")</f>
        <v>-</v>
      </c>
      <c r="H69" s="63" t="str">
        <f>IFERROR(VLOOKUP(G69,CustomerData!$B$4:$D$13,3),"-")</f>
        <v>-</v>
      </c>
      <c r="I69" s="61" t="str">
        <f>IFERROR(VLOOKUP($A69,InvDump[#All],MATCH(I$3,InvDump[#Headers],0),FALSE),"-")</f>
        <v>-</v>
      </c>
      <c r="J69" s="61" t="str">
        <f>IFERROR(VLOOKUP($A69,InvDump[#All],MATCH(J$3,InvDump[#Headers],0),FALSE),"-")</f>
        <v>-</v>
      </c>
      <c r="K69" s="61" t="str">
        <f>IFERROR(VLOOKUP($A69,InvDump[#All],MATCH(K$3,InvDump[#Headers],0),FALSE),"-")</f>
        <v>-</v>
      </c>
      <c r="L69" s="64" t="str">
        <f>IFERROR(VLOOKUP($A69,InvDump[#All],MATCH(L$3,InvDump[#Headers],0),FALSE),"-")</f>
        <v>-</v>
      </c>
      <c r="M69" s="64" t="str">
        <f>IFERROR(VLOOKUP($A69,InvDump[#All],MATCH(M$3,InvDump[#Headers],0),FALSE),"-")</f>
        <v>-</v>
      </c>
      <c r="N69" s="64" t="str">
        <f>IFERROR(VLOOKUP($A69,InvDump[#All],MATCH(N$3,InvDump[#Headers],0),FALSE),"-")</f>
        <v>-</v>
      </c>
      <c r="O69" s="64" t="str">
        <f>IFERROR(VLOOKUP($A69,InvDump[#All],MATCH(O$3,InvDump[#Headers],0),FALSE),"-")</f>
        <v>-</v>
      </c>
      <c r="P69" s="67" t="str">
        <f>IFERROR(VLOOKUP($A69,InvDump[#All],MATCH(P$3,InvDump[#Headers],0),FALSE),"")</f>
        <v/>
      </c>
      <c r="Q69" s="65" t="str">
        <f>IFERROR(VLOOKUP($A69,InvDump[#All],MATCH(Q$3,InvDump[#Headers],0),FALSE),"")</f>
        <v/>
      </c>
      <c r="R69" s="65" t="str">
        <f>IFERROR(IF(VLOOKUP($A69,InvDump[#All],MATCH(R$3,InvDump[#Headers],0),FALSE)=0,"",VLOOKUP($A69,InvDump[#All],MATCH(R$3,InvDump[#Headers],0),FALSE)),"")</f>
        <v/>
      </c>
      <c r="S69" s="66" t="str">
        <f>IFERROR(IF(InvDump[[#This Row],[Annexure]]="Yes",VLOOKUP($A69,InvDump[#All],20,FALSE)&amp;"; "&amp;VLOOKUP($A69,InvDump[#All],22,FALSE),VLOOKUP($A69,InvDump[#All],20,FALSE)),"")</f>
        <v/>
      </c>
    </row>
    <row r="70" spans="1:19" x14ac:dyDescent="0.3">
      <c r="A70" s="68"/>
      <c r="B70" s="61" t="str">
        <f>IFERROR(VLOOKUP($A70,InvDump[#All],MATCH(B$3,InvDump[#Headers],0),FALSE),"-")</f>
        <v>-</v>
      </c>
      <c r="C70" s="62" t="str">
        <f>IFERROR(VLOOKUP($A70,InvDump[#All],MATCH(C$3,InvDump[#Headers],0),FALSE),"-")</f>
        <v>-</v>
      </c>
      <c r="D70" s="61" t="str">
        <f>IFERROR(VLOOKUP($A70,InvDump[#All],MATCH(D$3,InvDump[#Headers],0),FALSE),"-")</f>
        <v>-</v>
      </c>
      <c r="E70" s="61" t="str">
        <f>IFERROR(VLOOKUP($A70,InvDump[#All],MATCH(E$3,InvDump[#Headers],0),FALSE),"-")</f>
        <v>-</v>
      </c>
      <c r="F70" s="61" t="str">
        <f>IFERROR(VLOOKUP($A70,InvDump[#All],MATCH(F$3,InvDump[#Headers],0),FALSE),"-")</f>
        <v>-</v>
      </c>
      <c r="G70" s="61" t="str">
        <f>IFERROR(VLOOKUP($A70,InvDump[#All],MATCH(G$3,InvDump[#Headers],0),FALSE),"-")</f>
        <v>-</v>
      </c>
      <c r="H70" s="63" t="str">
        <f>IFERROR(VLOOKUP(G70,CustomerData!$B$4:$D$13,3),"-")</f>
        <v>-</v>
      </c>
      <c r="I70" s="61" t="str">
        <f>IFERROR(VLOOKUP($A70,InvDump[#All],MATCH(I$3,InvDump[#Headers],0),FALSE),"-")</f>
        <v>-</v>
      </c>
      <c r="J70" s="61" t="str">
        <f>IFERROR(VLOOKUP($A70,InvDump[#All],MATCH(J$3,InvDump[#Headers],0),FALSE),"-")</f>
        <v>-</v>
      </c>
      <c r="K70" s="61" t="str">
        <f>IFERROR(VLOOKUP($A70,InvDump[#All],MATCH(K$3,InvDump[#Headers],0),FALSE),"-")</f>
        <v>-</v>
      </c>
      <c r="L70" s="64" t="str">
        <f>IFERROR(VLOOKUP($A70,InvDump[#All],MATCH(L$3,InvDump[#Headers],0),FALSE),"-")</f>
        <v>-</v>
      </c>
      <c r="M70" s="64" t="str">
        <f>IFERROR(VLOOKUP($A70,InvDump[#All],MATCH(M$3,InvDump[#Headers],0),FALSE),"-")</f>
        <v>-</v>
      </c>
      <c r="N70" s="64" t="str">
        <f>IFERROR(VLOOKUP($A70,InvDump[#All],MATCH(N$3,InvDump[#Headers],0),FALSE),"-")</f>
        <v>-</v>
      </c>
      <c r="O70" s="64" t="str">
        <f>IFERROR(VLOOKUP($A70,InvDump[#All],MATCH(O$3,InvDump[#Headers],0),FALSE),"-")</f>
        <v>-</v>
      </c>
      <c r="P70" s="67" t="str">
        <f>IFERROR(VLOOKUP($A70,InvDump[#All],MATCH(P$3,InvDump[#Headers],0),FALSE),"")</f>
        <v/>
      </c>
      <c r="Q70" s="65" t="str">
        <f>IFERROR(VLOOKUP($A70,InvDump[#All],MATCH(Q$3,InvDump[#Headers],0),FALSE),"")</f>
        <v/>
      </c>
      <c r="R70" s="65" t="str">
        <f>IFERROR(IF(VLOOKUP($A70,InvDump[#All],MATCH(R$3,InvDump[#Headers],0),FALSE)=0,"",VLOOKUP($A70,InvDump[#All],MATCH(R$3,InvDump[#Headers],0),FALSE)),"")</f>
        <v/>
      </c>
      <c r="S70" s="66" t="str">
        <f>IFERROR(IF(InvDump[[#This Row],[Annexure]]="Yes",VLOOKUP($A70,InvDump[#All],20,FALSE)&amp;"; "&amp;VLOOKUP($A70,InvDump[#All],22,FALSE),VLOOKUP($A70,InvDump[#All],20,FALSE)),"")</f>
        <v/>
      </c>
    </row>
    <row r="71" spans="1:19" x14ac:dyDescent="0.3">
      <c r="A71" s="68"/>
      <c r="B71" s="61" t="str">
        <f>IFERROR(VLOOKUP($A71,InvDump[#All],MATCH(B$3,InvDump[#Headers],0),FALSE),"-")</f>
        <v>-</v>
      </c>
      <c r="C71" s="62" t="str">
        <f>IFERROR(VLOOKUP($A71,InvDump[#All],MATCH(C$3,InvDump[#Headers],0),FALSE),"-")</f>
        <v>-</v>
      </c>
      <c r="D71" s="61" t="str">
        <f>IFERROR(VLOOKUP($A71,InvDump[#All],MATCH(D$3,InvDump[#Headers],0),FALSE),"-")</f>
        <v>-</v>
      </c>
      <c r="E71" s="61" t="str">
        <f>IFERROR(VLOOKUP($A71,InvDump[#All],MATCH(E$3,InvDump[#Headers],0),FALSE),"-")</f>
        <v>-</v>
      </c>
      <c r="F71" s="61" t="str">
        <f>IFERROR(VLOOKUP($A71,InvDump[#All],MATCH(F$3,InvDump[#Headers],0),FALSE),"-")</f>
        <v>-</v>
      </c>
      <c r="G71" s="61" t="str">
        <f>IFERROR(VLOOKUP($A71,InvDump[#All],MATCH(G$3,InvDump[#Headers],0),FALSE),"-")</f>
        <v>-</v>
      </c>
      <c r="H71" s="63" t="str">
        <f>IFERROR(VLOOKUP(G71,CustomerData!$B$4:$D$13,3),"-")</f>
        <v>-</v>
      </c>
      <c r="I71" s="61" t="str">
        <f>IFERROR(VLOOKUP($A71,InvDump[#All],MATCH(I$3,InvDump[#Headers],0),FALSE),"-")</f>
        <v>-</v>
      </c>
      <c r="J71" s="61" t="str">
        <f>IFERROR(VLOOKUP($A71,InvDump[#All],MATCH(J$3,InvDump[#Headers],0),FALSE),"-")</f>
        <v>-</v>
      </c>
      <c r="K71" s="61" t="str">
        <f>IFERROR(VLOOKUP($A71,InvDump[#All],MATCH(K$3,InvDump[#Headers],0),FALSE),"-")</f>
        <v>-</v>
      </c>
      <c r="L71" s="64" t="str">
        <f>IFERROR(VLOOKUP($A71,InvDump[#All],MATCH(L$3,InvDump[#Headers],0),FALSE),"-")</f>
        <v>-</v>
      </c>
      <c r="M71" s="64" t="str">
        <f>IFERROR(VLOOKUP($A71,InvDump[#All],MATCH(M$3,InvDump[#Headers],0),FALSE),"-")</f>
        <v>-</v>
      </c>
      <c r="N71" s="64" t="str">
        <f>IFERROR(VLOOKUP($A71,InvDump[#All],MATCH(N$3,InvDump[#Headers],0),FALSE),"-")</f>
        <v>-</v>
      </c>
      <c r="O71" s="64" t="str">
        <f>IFERROR(VLOOKUP($A71,InvDump[#All],MATCH(O$3,InvDump[#Headers],0),FALSE),"-")</f>
        <v>-</v>
      </c>
      <c r="P71" s="67" t="str">
        <f>IFERROR(VLOOKUP($A71,InvDump[#All],MATCH(P$3,InvDump[#Headers],0),FALSE),"")</f>
        <v/>
      </c>
      <c r="Q71" s="65" t="str">
        <f>IFERROR(VLOOKUP($A71,InvDump[#All],MATCH(Q$3,InvDump[#Headers],0),FALSE),"")</f>
        <v/>
      </c>
      <c r="R71" s="65" t="str">
        <f>IFERROR(IF(VLOOKUP($A71,InvDump[#All],MATCH(R$3,InvDump[#Headers],0),FALSE)=0,"",VLOOKUP($A71,InvDump[#All],MATCH(R$3,InvDump[#Headers],0),FALSE)),"")</f>
        <v/>
      </c>
      <c r="S71" s="66" t="str">
        <f>IFERROR(IF(InvDump[[#This Row],[Annexure]]="Yes",VLOOKUP($A71,InvDump[#All],20,FALSE)&amp;"; "&amp;VLOOKUP($A71,InvDump[#All],22,FALSE),VLOOKUP($A71,InvDump[#All],20,FALSE)),"")</f>
        <v/>
      </c>
    </row>
    <row r="72" spans="1:19" x14ac:dyDescent="0.3">
      <c r="A72" s="68"/>
      <c r="B72" s="61" t="str">
        <f>IFERROR(VLOOKUP($A72,InvDump[#All],MATCH(B$3,InvDump[#Headers],0),FALSE),"-")</f>
        <v>-</v>
      </c>
      <c r="C72" s="62" t="str">
        <f>IFERROR(VLOOKUP($A72,InvDump[#All],MATCH(C$3,InvDump[#Headers],0),FALSE),"-")</f>
        <v>-</v>
      </c>
      <c r="D72" s="61" t="str">
        <f>IFERROR(VLOOKUP($A72,InvDump[#All],MATCH(D$3,InvDump[#Headers],0),FALSE),"-")</f>
        <v>-</v>
      </c>
      <c r="E72" s="61" t="str">
        <f>IFERROR(VLOOKUP($A72,InvDump[#All],MATCH(E$3,InvDump[#Headers],0),FALSE),"-")</f>
        <v>-</v>
      </c>
      <c r="F72" s="61" t="str">
        <f>IFERROR(VLOOKUP($A72,InvDump[#All],MATCH(F$3,InvDump[#Headers],0),FALSE),"-")</f>
        <v>-</v>
      </c>
      <c r="G72" s="61" t="str">
        <f>IFERROR(VLOOKUP($A72,InvDump[#All],MATCH(G$3,InvDump[#Headers],0),FALSE),"-")</f>
        <v>-</v>
      </c>
      <c r="H72" s="63" t="str">
        <f>IFERROR(VLOOKUP(G72,CustomerData!$B$4:$D$13,3),"-")</f>
        <v>-</v>
      </c>
      <c r="I72" s="61" t="str">
        <f>IFERROR(VLOOKUP($A72,InvDump[#All],MATCH(I$3,InvDump[#Headers],0),FALSE),"-")</f>
        <v>-</v>
      </c>
      <c r="J72" s="61" t="str">
        <f>IFERROR(VLOOKUP($A72,InvDump[#All],MATCH(J$3,InvDump[#Headers],0),FALSE),"-")</f>
        <v>-</v>
      </c>
      <c r="K72" s="61" t="str">
        <f>IFERROR(VLOOKUP($A72,InvDump[#All],MATCH(K$3,InvDump[#Headers],0),FALSE),"-")</f>
        <v>-</v>
      </c>
      <c r="L72" s="64" t="str">
        <f>IFERROR(VLOOKUP($A72,InvDump[#All],MATCH(L$3,InvDump[#Headers],0),FALSE),"-")</f>
        <v>-</v>
      </c>
      <c r="M72" s="64" t="str">
        <f>IFERROR(VLOOKUP($A72,InvDump[#All],MATCH(M$3,InvDump[#Headers],0),FALSE),"-")</f>
        <v>-</v>
      </c>
      <c r="N72" s="64" t="str">
        <f>IFERROR(VLOOKUP($A72,InvDump[#All],MATCH(N$3,InvDump[#Headers],0),FALSE),"-")</f>
        <v>-</v>
      </c>
      <c r="O72" s="64" t="str">
        <f>IFERROR(VLOOKUP($A72,InvDump[#All],MATCH(O$3,InvDump[#Headers],0),FALSE),"-")</f>
        <v>-</v>
      </c>
      <c r="P72" s="67" t="str">
        <f>IFERROR(VLOOKUP($A72,InvDump[#All],MATCH(P$3,InvDump[#Headers],0),FALSE),"")</f>
        <v/>
      </c>
      <c r="Q72" s="65" t="str">
        <f>IFERROR(VLOOKUP($A72,InvDump[#All],MATCH(Q$3,InvDump[#Headers],0),FALSE),"")</f>
        <v/>
      </c>
      <c r="R72" s="65" t="str">
        <f>IFERROR(IF(VLOOKUP($A72,InvDump[#All],MATCH(R$3,InvDump[#Headers],0),FALSE)=0,"",VLOOKUP($A72,InvDump[#All],MATCH(R$3,InvDump[#Headers],0),FALSE)),"")</f>
        <v/>
      </c>
      <c r="S72" s="66" t="str">
        <f>IFERROR(IF(InvDump[[#This Row],[Annexure]]="Yes",VLOOKUP($A72,InvDump[#All],20,FALSE)&amp;"; "&amp;VLOOKUP($A72,InvDump[#All],22,FALSE),VLOOKUP($A72,InvDump[#All],20,FALSE)),"")</f>
        <v/>
      </c>
    </row>
    <row r="73" spans="1:19" x14ac:dyDescent="0.3">
      <c r="A73" s="68"/>
      <c r="B73" s="61" t="str">
        <f>IFERROR(VLOOKUP($A73,InvDump[#All],MATCH(B$3,InvDump[#Headers],0),FALSE),"-")</f>
        <v>-</v>
      </c>
      <c r="C73" s="62" t="str">
        <f>IFERROR(VLOOKUP($A73,InvDump[#All],MATCH(C$3,InvDump[#Headers],0),FALSE),"-")</f>
        <v>-</v>
      </c>
      <c r="D73" s="61" t="str">
        <f>IFERROR(VLOOKUP($A73,InvDump[#All],MATCH(D$3,InvDump[#Headers],0),FALSE),"-")</f>
        <v>-</v>
      </c>
      <c r="E73" s="61" t="str">
        <f>IFERROR(VLOOKUP($A73,InvDump[#All],MATCH(E$3,InvDump[#Headers],0),FALSE),"-")</f>
        <v>-</v>
      </c>
      <c r="F73" s="61" t="str">
        <f>IFERROR(VLOOKUP($A73,InvDump[#All],MATCH(F$3,InvDump[#Headers],0),FALSE),"-")</f>
        <v>-</v>
      </c>
      <c r="G73" s="61" t="str">
        <f>IFERROR(VLOOKUP($A73,InvDump[#All],MATCH(G$3,InvDump[#Headers],0),FALSE),"-")</f>
        <v>-</v>
      </c>
      <c r="H73" s="63" t="str">
        <f>IFERROR(VLOOKUP(G73,CustomerData!$B$4:$D$13,3),"-")</f>
        <v>-</v>
      </c>
      <c r="I73" s="61" t="str">
        <f>IFERROR(VLOOKUP($A73,InvDump[#All],MATCH(I$3,InvDump[#Headers],0),FALSE),"-")</f>
        <v>-</v>
      </c>
      <c r="J73" s="61" t="str">
        <f>IFERROR(VLOOKUP($A73,InvDump[#All],MATCH(J$3,InvDump[#Headers],0),FALSE),"-")</f>
        <v>-</v>
      </c>
      <c r="K73" s="61" t="str">
        <f>IFERROR(VLOOKUP($A73,InvDump[#All],MATCH(K$3,InvDump[#Headers],0),FALSE),"-")</f>
        <v>-</v>
      </c>
      <c r="L73" s="64" t="str">
        <f>IFERROR(VLOOKUP($A73,InvDump[#All],MATCH(L$3,InvDump[#Headers],0),FALSE),"-")</f>
        <v>-</v>
      </c>
      <c r="M73" s="64" t="str">
        <f>IFERROR(VLOOKUP($A73,InvDump[#All],MATCH(M$3,InvDump[#Headers],0),FALSE),"-")</f>
        <v>-</v>
      </c>
      <c r="N73" s="64" t="str">
        <f>IFERROR(VLOOKUP($A73,InvDump[#All],MATCH(N$3,InvDump[#Headers],0),FALSE),"-")</f>
        <v>-</v>
      </c>
      <c r="O73" s="64" t="str">
        <f>IFERROR(VLOOKUP($A73,InvDump[#All],MATCH(O$3,InvDump[#Headers],0),FALSE),"-")</f>
        <v>-</v>
      </c>
      <c r="P73" s="67" t="str">
        <f>IFERROR(VLOOKUP($A73,InvDump[#All],MATCH(P$3,InvDump[#Headers],0),FALSE),"")</f>
        <v/>
      </c>
      <c r="Q73" s="65" t="str">
        <f>IFERROR(VLOOKUP($A73,InvDump[#All],MATCH(Q$3,InvDump[#Headers],0),FALSE),"")</f>
        <v/>
      </c>
      <c r="R73" s="65" t="str">
        <f>IFERROR(IF(VLOOKUP($A73,InvDump[#All],MATCH(R$3,InvDump[#Headers],0),FALSE)=0,"",VLOOKUP($A73,InvDump[#All],MATCH(R$3,InvDump[#Headers],0),FALSE)),"")</f>
        <v/>
      </c>
      <c r="S73" s="66" t="str">
        <f>IFERROR(IF(InvDump[[#This Row],[Annexure]]="Yes",VLOOKUP($A73,InvDump[#All],20,FALSE)&amp;"; "&amp;VLOOKUP($A73,InvDump[#All],22,FALSE),VLOOKUP($A73,InvDump[#All],20,FALSE)),"")</f>
        <v/>
      </c>
    </row>
    <row r="74" spans="1:19" x14ac:dyDescent="0.3">
      <c r="A74" s="68"/>
      <c r="B74" s="61" t="str">
        <f>IFERROR(VLOOKUP($A74,InvDump[#All],MATCH(B$3,InvDump[#Headers],0),FALSE),"-")</f>
        <v>-</v>
      </c>
      <c r="C74" s="62" t="str">
        <f>IFERROR(VLOOKUP($A74,InvDump[#All],MATCH(C$3,InvDump[#Headers],0),FALSE),"-")</f>
        <v>-</v>
      </c>
      <c r="D74" s="61" t="str">
        <f>IFERROR(VLOOKUP($A74,InvDump[#All],MATCH(D$3,InvDump[#Headers],0),FALSE),"-")</f>
        <v>-</v>
      </c>
      <c r="E74" s="61" t="str">
        <f>IFERROR(VLOOKUP($A74,InvDump[#All],MATCH(E$3,InvDump[#Headers],0),FALSE),"-")</f>
        <v>-</v>
      </c>
      <c r="F74" s="61" t="str">
        <f>IFERROR(VLOOKUP($A74,InvDump[#All],MATCH(F$3,InvDump[#Headers],0),FALSE),"-")</f>
        <v>-</v>
      </c>
      <c r="G74" s="61" t="str">
        <f>IFERROR(VLOOKUP($A74,InvDump[#All],MATCH(G$3,InvDump[#Headers],0),FALSE),"-")</f>
        <v>-</v>
      </c>
      <c r="H74" s="63" t="str">
        <f>IFERROR(VLOOKUP(G74,CustomerData!$B$4:$D$13,3),"-")</f>
        <v>-</v>
      </c>
      <c r="I74" s="61" t="str">
        <f>IFERROR(VLOOKUP($A74,InvDump[#All],MATCH(I$3,InvDump[#Headers],0),FALSE),"-")</f>
        <v>-</v>
      </c>
      <c r="J74" s="61" t="str">
        <f>IFERROR(VLOOKUP($A74,InvDump[#All],MATCH(J$3,InvDump[#Headers],0),FALSE),"-")</f>
        <v>-</v>
      </c>
      <c r="K74" s="61" t="str">
        <f>IFERROR(VLOOKUP($A74,InvDump[#All],MATCH(K$3,InvDump[#Headers],0),FALSE),"-")</f>
        <v>-</v>
      </c>
      <c r="L74" s="64" t="str">
        <f>IFERROR(VLOOKUP($A74,InvDump[#All],MATCH(L$3,InvDump[#Headers],0),FALSE),"-")</f>
        <v>-</v>
      </c>
      <c r="M74" s="64" t="str">
        <f>IFERROR(VLOOKUP($A74,InvDump[#All],MATCH(M$3,InvDump[#Headers],0),FALSE),"-")</f>
        <v>-</v>
      </c>
      <c r="N74" s="64" t="str">
        <f>IFERROR(VLOOKUP($A74,InvDump[#All],MATCH(N$3,InvDump[#Headers],0),FALSE),"-")</f>
        <v>-</v>
      </c>
      <c r="O74" s="64" t="str">
        <f>IFERROR(VLOOKUP($A74,InvDump[#All],MATCH(O$3,InvDump[#Headers],0),FALSE),"-")</f>
        <v>-</v>
      </c>
      <c r="P74" s="67" t="str">
        <f>IFERROR(VLOOKUP($A74,InvDump[#All],MATCH(P$3,InvDump[#Headers],0),FALSE),"")</f>
        <v/>
      </c>
      <c r="Q74" s="65" t="str">
        <f>IFERROR(VLOOKUP($A74,InvDump[#All],MATCH(Q$3,InvDump[#Headers],0),FALSE),"")</f>
        <v/>
      </c>
      <c r="R74" s="65" t="str">
        <f>IFERROR(IF(VLOOKUP($A74,InvDump[#All],MATCH(R$3,InvDump[#Headers],0),FALSE)=0,"",VLOOKUP($A74,InvDump[#All],MATCH(R$3,InvDump[#Headers],0),FALSE)),"")</f>
        <v/>
      </c>
      <c r="S74" s="66" t="str">
        <f>IFERROR(IF(InvDump[[#This Row],[Annexure]]="Yes",VLOOKUP($A74,InvDump[#All],20,FALSE)&amp;"; "&amp;VLOOKUP($A74,InvDump[#All],22,FALSE),VLOOKUP($A74,InvDump[#All],20,FALSE)),"")</f>
        <v/>
      </c>
    </row>
    <row r="75" spans="1:19" x14ac:dyDescent="0.3">
      <c r="A75" s="68"/>
      <c r="B75" s="61" t="str">
        <f>IFERROR(VLOOKUP($A75,InvDump[#All],MATCH(B$3,InvDump[#Headers],0),FALSE),"-")</f>
        <v>-</v>
      </c>
      <c r="C75" s="62" t="str">
        <f>IFERROR(VLOOKUP($A75,InvDump[#All],MATCH(C$3,InvDump[#Headers],0),FALSE),"-")</f>
        <v>-</v>
      </c>
      <c r="D75" s="61" t="str">
        <f>IFERROR(VLOOKUP($A75,InvDump[#All],MATCH(D$3,InvDump[#Headers],0),FALSE),"-")</f>
        <v>-</v>
      </c>
      <c r="E75" s="61" t="str">
        <f>IFERROR(VLOOKUP($A75,InvDump[#All],MATCH(E$3,InvDump[#Headers],0),FALSE),"-")</f>
        <v>-</v>
      </c>
      <c r="F75" s="61" t="str">
        <f>IFERROR(VLOOKUP($A75,InvDump[#All],MATCH(F$3,InvDump[#Headers],0),FALSE),"-")</f>
        <v>-</v>
      </c>
      <c r="G75" s="61" t="str">
        <f>IFERROR(VLOOKUP($A75,InvDump[#All],MATCH(G$3,InvDump[#Headers],0),FALSE),"-")</f>
        <v>-</v>
      </c>
      <c r="H75" s="63" t="str">
        <f>IFERROR(VLOOKUP(G75,CustomerData!$B$4:$D$13,3),"-")</f>
        <v>-</v>
      </c>
      <c r="I75" s="61" t="str">
        <f>IFERROR(VLOOKUP($A75,InvDump[#All],MATCH(I$3,InvDump[#Headers],0),FALSE),"-")</f>
        <v>-</v>
      </c>
      <c r="J75" s="61" t="str">
        <f>IFERROR(VLOOKUP($A75,InvDump[#All],MATCH(J$3,InvDump[#Headers],0),FALSE),"-")</f>
        <v>-</v>
      </c>
      <c r="K75" s="61" t="str">
        <f>IFERROR(VLOOKUP($A75,InvDump[#All],MATCH(K$3,InvDump[#Headers],0),FALSE),"-")</f>
        <v>-</v>
      </c>
      <c r="L75" s="64" t="str">
        <f>IFERROR(VLOOKUP($A75,InvDump[#All],MATCH(L$3,InvDump[#Headers],0),FALSE),"-")</f>
        <v>-</v>
      </c>
      <c r="M75" s="64" t="str">
        <f>IFERROR(VLOOKUP($A75,InvDump[#All],MATCH(M$3,InvDump[#Headers],0),FALSE),"-")</f>
        <v>-</v>
      </c>
      <c r="N75" s="64" t="str">
        <f>IFERROR(VLOOKUP($A75,InvDump[#All],MATCH(N$3,InvDump[#Headers],0),FALSE),"-")</f>
        <v>-</v>
      </c>
      <c r="O75" s="64" t="str">
        <f>IFERROR(VLOOKUP($A75,InvDump[#All],MATCH(O$3,InvDump[#Headers],0),FALSE),"-")</f>
        <v>-</v>
      </c>
      <c r="P75" s="67" t="str">
        <f>IFERROR(VLOOKUP($A75,InvDump[#All],MATCH(P$3,InvDump[#Headers],0),FALSE),"")</f>
        <v/>
      </c>
      <c r="Q75" s="65" t="str">
        <f>IFERROR(VLOOKUP($A75,InvDump[#All],MATCH(Q$3,InvDump[#Headers],0),FALSE),"")</f>
        <v/>
      </c>
      <c r="R75" s="65" t="str">
        <f>IFERROR(IF(VLOOKUP($A75,InvDump[#All],MATCH(R$3,InvDump[#Headers],0),FALSE)=0,"",VLOOKUP($A75,InvDump[#All],MATCH(R$3,InvDump[#Headers],0),FALSE)),"")</f>
        <v/>
      </c>
      <c r="S75" s="66" t="str">
        <f>IFERROR(IF(InvDump[[#This Row],[Annexure]]="Yes",VLOOKUP($A75,InvDump[#All],20,FALSE)&amp;"; "&amp;VLOOKUP($A75,InvDump[#All],22,FALSE),VLOOKUP($A75,InvDump[#All],20,FALSE)),"")</f>
        <v/>
      </c>
    </row>
    <row r="76" spans="1:19" x14ac:dyDescent="0.3">
      <c r="A76" s="68"/>
      <c r="B76" s="61" t="str">
        <f>IFERROR(VLOOKUP($A76,InvDump[#All],MATCH(B$3,InvDump[#Headers],0),FALSE),"-")</f>
        <v>-</v>
      </c>
      <c r="C76" s="62" t="str">
        <f>IFERROR(VLOOKUP($A76,InvDump[#All],MATCH(C$3,InvDump[#Headers],0),FALSE),"-")</f>
        <v>-</v>
      </c>
      <c r="D76" s="61" t="str">
        <f>IFERROR(VLOOKUP($A76,InvDump[#All],MATCH(D$3,InvDump[#Headers],0),FALSE),"-")</f>
        <v>-</v>
      </c>
      <c r="E76" s="61" t="str">
        <f>IFERROR(VLOOKUP($A76,InvDump[#All],MATCH(E$3,InvDump[#Headers],0),FALSE),"-")</f>
        <v>-</v>
      </c>
      <c r="F76" s="61" t="str">
        <f>IFERROR(VLOOKUP($A76,InvDump[#All],MATCH(F$3,InvDump[#Headers],0),FALSE),"-")</f>
        <v>-</v>
      </c>
      <c r="G76" s="61" t="str">
        <f>IFERROR(VLOOKUP($A76,InvDump[#All],MATCH(G$3,InvDump[#Headers],0),FALSE),"-")</f>
        <v>-</v>
      </c>
      <c r="H76" s="63" t="str">
        <f>IFERROR(VLOOKUP(G76,CustomerData!$B$4:$D$13,3),"-")</f>
        <v>-</v>
      </c>
      <c r="I76" s="61" t="str">
        <f>IFERROR(VLOOKUP($A76,InvDump[#All],MATCH(I$3,InvDump[#Headers],0),FALSE),"-")</f>
        <v>-</v>
      </c>
      <c r="J76" s="61" t="str">
        <f>IFERROR(VLOOKUP($A76,InvDump[#All],MATCH(J$3,InvDump[#Headers],0),FALSE),"-")</f>
        <v>-</v>
      </c>
      <c r="K76" s="61" t="str">
        <f>IFERROR(VLOOKUP($A76,InvDump[#All],MATCH(K$3,InvDump[#Headers],0),FALSE),"-")</f>
        <v>-</v>
      </c>
      <c r="L76" s="64" t="str">
        <f>IFERROR(VLOOKUP($A76,InvDump[#All],MATCH(L$3,InvDump[#Headers],0),FALSE),"-")</f>
        <v>-</v>
      </c>
      <c r="M76" s="64" t="str">
        <f>IFERROR(VLOOKUP($A76,InvDump[#All],MATCH(M$3,InvDump[#Headers],0),FALSE),"-")</f>
        <v>-</v>
      </c>
      <c r="N76" s="64" t="str">
        <f>IFERROR(VLOOKUP($A76,InvDump[#All],MATCH(N$3,InvDump[#Headers],0),FALSE),"-")</f>
        <v>-</v>
      </c>
      <c r="O76" s="64" t="str">
        <f>IFERROR(VLOOKUP($A76,InvDump[#All],MATCH(O$3,InvDump[#Headers],0),FALSE),"-")</f>
        <v>-</v>
      </c>
      <c r="P76" s="67" t="str">
        <f>IFERROR(VLOOKUP($A76,InvDump[#All],MATCH(P$3,InvDump[#Headers],0),FALSE),"")</f>
        <v/>
      </c>
      <c r="Q76" s="65" t="str">
        <f>IFERROR(VLOOKUP($A76,InvDump[#All],MATCH(Q$3,InvDump[#Headers],0),FALSE),"")</f>
        <v/>
      </c>
      <c r="R76" s="65" t="str">
        <f>IFERROR(IF(VLOOKUP($A76,InvDump[#All],MATCH(R$3,InvDump[#Headers],0),FALSE)=0,"",VLOOKUP($A76,InvDump[#All],MATCH(R$3,InvDump[#Headers],0),FALSE)),"")</f>
        <v/>
      </c>
      <c r="S76" s="66" t="str">
        <f>IFERROR(IF(InvDump[[#This Row],[Annexure]]="Yes",VLOOKUP($A76,InvDump[#All],20,FALSE)&amp;"; "&amp;VLOOKUP($A76,InvDump[#All],22,FALSE),VLOOKUP($A76,InvDump[#All],20,FALSE)),"")</f>
        <v/>
      </c>
    </row>
    <row r="77" spans="1:19" x14ac:dyDescent="0.3">
      <c r="A77" s="68"/>
      <c r="B77" s="61" t="str">
        <f>IFERROR(VLOOKUP($A77,InvDump[#All],MATCH(B$3,InvDump[#Headers],0),FALSE),"-")</f>
        <v>-</v>
      </c>
      <c r="C77" s="62" t="str">
        <f>IFERROR(VLOOKUP($A77,InvDump[#All],MATCH(C$3,InvDump[#Headers],0),FALSE),"-")</f>
        <v>-</v>
      </c>
      <c r="D77" s="61" t="str">
        <f>IFERROR(VLOOKUP($A77,InvDump[#All],MATCH(D$3,InvDump[#Headers],0),FALSE),"-")</f>
        <v>-</v>
      </c>
      <c r="E77" s="61" t="str">
        <f>IFERROR(VLOOKUP($A77,InvDump[#All],MATCH(E$3,InvDump[#Headers],0),FALSE),"-")</f>
        <v>-</v>
      </c>
      <c r="F77" s="61" t="str">
        <f>IFERROR(VLOOKUP($A77,InvDump[#All],MATCH(F$3,InvDump[#Headers],0),FALSE),"-")</f>
        <v>-</v>
      </c>
      <c r="G77" s="61" t="str">
        <f>IFERROR(VLOOKUP($A77,InvDump[#All],MATCH(G$3,InvDump[#Headers],0),FALSE),"-")</f>
        <v>-</v>
      </c>
      <c r="H77" s="63" t="str">
        <f>IFERROR(VLOOKUP(G77,CustomerData!$B$4:$D$13,3),"-")</f>
        <v>-</v>
      </c>
      <c r="I77" s="61" t="str">
        <f>IFERROR(VLOOKUP($A77,InvDump[#All],MATCH(I$3,InvDump[#Headers],0),FALSE),"-")</f>
        <v>-</v>
      </c>
      <c r="J77" s="61" t="str">
        <f>IFERROR(VLOOKUP($A77,InvDump[#All],MATCH(J$3,InvDump[#Headers],0),FALSE),"-")</f>
        <v>-</v>
      </c>
      <c r="K77" s="61" t="str">
        <f>IFERROR(VLOOKUP($A77,InvDump[#All],MATCH(K$3,InvDump[#Headers],0),FALSE),"-")</f>
        <v>-</v>
      </c>
      <c r="L77" s="64" t="str">
        <f>IFERROR(VLOOKUP($A77,InvDump[#All],MATCH(L$3,InvDump[#Headers],0),FALSE),"-")</f>
        <v>-</v>
      </c>
      <c r="M77" s="64" t="str">
        <f>IFERROR(VLOOKUP($A77,InvDump[#All],MATCH(M$3,InvDump[#Headers],0),FALSE),"-")</f>
        <v>-</v>
      </c>
      <c r="N77" s="64" t="str">
        <f>IFERROR(VLOOKUP($A77,InvDump[#All],MATCH(N$3,InvDump[#Headers],0),FALSE),"-")</f>
        <v>-</v>
      </c>
      <c r="O77" s="64" t="str">
        <f>IFERROR(VLOOKUP($A77,InvDump[#All],MATCH(O$3,InvDump[#Headers],0),FALSE),"-")</f>
        <v>-</v>
      </c>
      <c r="P77" s="67" t="str">
        <f>IFERROR(VLOOKUP($A77,InvDump[#All],MATCH(P$3,InvDump[#Headers],0),FALSE),"")</f>
        <v/>
      </c>
      <c r="Q77" s="65" t="str">
        <f>IFERROR(VLOOKUP($A77,InvDump[#All],MATCH(Q$3,InvDump[#Headers],0),FALSE),"")</f>
        <v/>
      </c>
      <c r="R77" s="65" t="str">
        <f>IFERROR(IF(VLOOKUP($A77,InvDump[#All],MATCH(R$3,InvDump[#Headers],0),FALSE)=0,"",VLOOKUP($A77,InvDump[#All],MATCH(R$3,InvDump[#Headers],0),FALSE)),"")</f>
        <v/>
      </c>
      <c r="S77" s="66" t="str">
        <f>IFERROR(IF(InvDump[[#This Row],[Annexure]]="Yes",VLOOKUP($A77,InvDump[#All],20,FALSE)&amp;"; "&amp;VLOOKUP($A77,InvDump[#All],22,FALSE),VLOOKUP($A77,InvDump[#All],20,FALSE)),"")</f>
        <v/>
      </c>
    </row>
    <row r="78" spans="1:19" x14ac:dyDescent="0.3">
      <c r="A78" s="68"/>
      <c r="B78" s="61" t="str">
        <f>IFERROR(VLOOKUP($A78,InvDump[#All],MATCH(B$3,InvDump[#Headers],0),FALSE),"-")</f>
        <v>-</v>
      </c>
      <c r="C78" s="62" t="str">
        <f>IFERROR(VLOOKUP($A78,InvDump[#All],MATCH(C$3,InvDump[#Headers],0),FALSE),"-")</f>
        <v>-</v>
      </c>
      <c r="D78" s="61" t="str">
        <f>IFERROR(VLOOKUP($A78,InvDump[#All],MATCH(D$3,InvDump[#Headers],0),FALSE),"-")</f>
        <v>-</v>
      </c>
      <c r="E78" s="61" t="str">
        <f>IFERROR(VLOOKUP($A78,InvDump[#All],MATCH(E$3,InvDump[#Headers],0),FALSE),"-")</f>
        <v>-</v>
      </c>
      <c r="F78" s="61" t="str">
        <f>IFERROR(VLOOKUP($A78,InvDump[#All],MATCH(F$3,InvDump[#Headers],0),FALSE),"-")</f>
        <v>-</v>
      </c>
      <c r="G78" s="61" t="str">
        <f>IFERROR(VLOOKUP($A78,InvDump[#All],MATCH(G$3,InvDump[#Headers],0),FALSE),"-")</f>
        <v>-</v>
      </c>
      <c r="H78" s="63" t="str">
        <f>IFERROR(VLOOKUP(G78,CustomerData!$B$4:$D$13,3),"-")</f>
        <v>-</v>
      </c>
      <c r="I78" s="61" t="str">
        <f>IFERROR(VLOOKUP($A78,InvDump[#All],MATCH(I$3,InvDump[#Headers],0),FALSE),"-")</f>
        <v>-</v>
      </c>
      <c r="J78" s="61" t="str">
        <f>IFERROR(VLOOKUP($A78,InvDump[#All],MATCH(J$3,InvDump[#Headers],0),FALSE),"-")</f>
        <v>-</v>
      </c>
      <c r="K78" s="61" t="str">
        <f>IFERROR(VLOOKUP($A78,InvDump[#All],MATCH(K$3,InvDump[#Headers],0),FALSE),"-")</f>
        <v>-</v>
      </c>
      <c r="L78" s="64" t="str">
        <f>IFERROR(VLOOKUP($A78,InvDump[#All],MATCH(L$3,InvDump[#Headers],0),FALSE),"-")</f>
        <v>-</v>
      </c>
      <c r="M78" s="64" t="str">
        <f>IFERROR(VLOOKUP($A78,InvDump[#All],MATCH(M$3,InvDump[#Headers],0),FALSE),"-")</f>
        <v>-</v>
      </c>
      <c r="N78" s="64" t="str">
        <f>IFERROR(VLOOKUP($A78,InvDump[#All],MATCH(N$3,InvDump[#Headers],0),FALSE),"-")</f>
        <v>-</v>
      </c>
      <c r="O78" s="64" t="str">
        <f>IFERROR(VLOOKUP($A78,InvDump[#All],MATCH(O$3,InvDump[#Headers],0),FALSE),"-")</f>
        <v>-</v>
      </c>
      <c r="P78" s="67" t="str">
        <f>IFERROR(VLOOKUP($A78,InvDump[#All],MATCH(P$3,InvDump[#Headers],0),FALSE),"")</f>
        <v/>
      </c>
      <c r="Q78" s="65" t="str">
        <f>IFERROR(VLOOKUP($A78,InvDump[#All],MATCH(Q$3,InvDump[#Headers],0),FALSE),"")</f>
        <v/>
      </c>
      <c r="R78" s="65" t="str">
        <f>IFERROR(IF(VLOOKUP($A78,InvDump[#All],MATCH(R$3,InvDump[#Headers],0),FALSE)=0,"",VLOOKUP($A78,InvDump[#All],MATCH(R$3,InvDump[#Headers],0),FALSE)),"")</f>
        <v/>
      </c>
      <c r="S78" s="66" t="str">
        <f>IFERROR(IF(InvDump[[#This Row],[Annexure]]="Yes",VLOOKUP($A78,InvDump[#All],20,FALSE)&amp;"; "&amp;VLOOKUP($A78,InvDump[#All],22,FALSE),VLOOKUP($A78,InvDump[#All],20,FALSE)),"")</f>
        <v/>
      </c>
    </row>
    <row r="79" spans="1:19" x14ac:dyDescent="0.3">
      <c r="A79" s="68"/>
      <c r="B79" s="61" t="str">
        <f>IFERROR(VLOOKUP($A79,InvDump[#All],MATCH(B$3,InvDump[#Headers],0),FALSE),"-")</f>
        <v>-</v>
      </c>
      <c r="C79" s="62" t="str">
        <f>IFERROR(VLOOKUP($A79,InvDump[#All],MATCH(C$3,InvDump[#Headers],0),FALSE),"-")</f>
        <v>-</v>
      </c>
      <c r="D79" s="61" t="str">
        <f>IFERROR(VLOOKUP($A79,InvDump[#All],MATCH(D$3,InvDump[#Headers],0),FALSE),"-")</f>
        <v>-</v>
      </c>
      <c r="E79" s="61" t="str">
        <f>IFERROR(VLOOKUP($A79,InvDump[#All],MATCH(E$3,InvDump[#Headers],0),FALSE),"-")</f>
        <v>-</v>
      </c>
      <c r="F79" s="61" t="str">
        <f>IFERROR(VLOOKUP($A79,InvDump[#All],MATCH(F$3,InvDump[#Headers],0),FALSE),"-")</f>
        <v>-</v>
      </c>
      <c r="G79" s="61" t="str">
        <f>IFERROR(VLOOKUP($A79,InvDump[#All],MATCH(G$3,InvDump[#Headers],0),FALSE),"-")</f>
        <v>-</v>
      </c>
      <c r="H79" s="63" t="str">
        <f>IFERROR(VLOOKUP(G79,CustomerData!$B$4:$D$13,3),"-")</f>
        <v>-</v>
      </c>
      <c r="I79" s="61" t="str">
        <f>IFERROR(VLOOKUP($A79,InvDump[#All],MATCH(I$3,InvDump[#Headers],0),FALSE),"-")</f>
        <v>-</v>
      </c>
      <c r="J79" s="61" t="str">
        <f>IFERROR(VLOOKUP($A79,InvDump[#All],MATCH(J$3,InvDump[#Headers],0),FALSE),"-")</f>
        <v>-</v>
      </c>
      <c r="K79" s="61" t="str">
        <f>IFERROR(VLOOKUP($A79,InvDump[#All],MATCH(K$3,InvDump[#Headers],0),FALSE),"-")</f>
        <v>-</v>
      </c>
      <c r="L79" s="64" t="str">
        <f>IFERROR(VLOOKUP($A79,InvDump[#All],MATCH(L$3,InvDump[#Headers],0),FALSE),"-")</f>
        <v>-</v>
      </c>
      <c r="M79" s="64" t="str">
        <f>IFERROR(VLOOKUP($A79,InvDump[#All],MATCH(M$3,InvDump[#Headers],0),FALSE),"-")</f>
        <v>-</v>
      </c>
      <c r="N79" s="64" t="str">
        <f>IFERROR(VLOOKUP($A79,InvDump[#All],MATCH(N$3,InvDump[#Headers],0),FALSE),"-")</f>
        <v>-</v>
      </c>
      <c r="O79" s="64" t="str">
        <f>IFERROR(VLOOKUP($A79,InvDump[#All],MATCH(O$3,InvDump[#Headers],0),FALSE),"-")</f>
        <v>-</v>
      </c>
      <c r="P79" s="67" t="str">
        <f>IFERROR(VLOOKUP($A79,InvDump[#All],MATCH(P$3,InvDump[#Headers],0),FALSE),"")</f>
        <v/>
      </c>
      <c r="Q79" s="65" t="str">
        <f>IFERROR(VLOOKUP($A79,InvDump[#All],MATCH(Q$3,InvDump[#Headers],0),FALSE),"")</f>
        <v/>
      </c>
      <c r="R79" s="65" t="str">
        <f>IFERROR(IF(VLOOKUP($A79,InvDump[#All],MATCH(R$3,InvDump[#Headers],0),FALSE)=0,"",VLOOKUP($A79,InvDump[#All],MATCH(R$3,InvDump[#Headers],0),FALSE)),"")</f>
        <v/>
      </c>
      <c r="S79" s="66" t="str">
        <f>IFERROR(IF(InvDump[[#This Row],[Annexure]]="Yes",VLOOKUP($A79,InvDump[#All],20,FALSE)&amp;"; "&amp;VLOOKUP($A79,InvDump[#All],22,FALSE),VLOOKUP($A79,InvDump[#All],20,FALSE)),"")</f>
        <v/>
      </c>
    </row>
    <row r="80" spans="1:19" x14ac:dyDescent="0.3">
      <c r="A80" s="68"/>
      <c r="B80" s="61" t="str">
        <f>IFERROR(VLOOKUP($A80,InvDump[#All],MATCH(B$3,InvDump[#Headers],0),FALSE),"-")</f>
        <v>-</v>
      </c>
      <c r="C80" s="62" t="str">
        <f>IFERROR(VLOOKUP($A80,InvDump[#All],MATCH(C$3,InvDump[#Headers],0),FALSE),"-")</f>
        <v>-</v>
      </c>
      <c r="D80" s="61" t="str">
        <f>IFERROR(VLOOKUP($A80,InvDump[#All],MATCH(D$3,InvDump[#Headers],0),FALSE),"-")</f>
        <v>-</v>
      </c>
      <c r="E80" s="61" t="str">
        <f>IFERROR(VLOOKUP($A80,InvDump[#All],MATCH(E$3,InvDump[#Headers],0),FALSE),"-")</f>
        <v>-</v>
      </c>
      <c r="F80" s="61" t="str">
        <f>IFERROR(VLOOKUP($A80,InvDump[#All],MATCH(F$3,InvDump[#Headers],0),FALSE),"-")</f>
        <v>-</v>
      </c>
      <c r="G80" s="61" t="str">
        <f>IFERROR(VLOOKUP($A80,InvDump[#All],MATCH(G$3,InvDump[#Headers],0),FALSE),"-")</f>
        <v>-</v>
      </c>
      <c r="H80" s="63" t="str">
        <f>IFERROR(VLOOKUP(G80,CustomerData!$B$4:$D$13,3),"-")</f>
        <v>-</v>
      </c>
      <c r="I80" s="61" t="str">
        <f>IFERROR(VLOOKUP($A80,InvDump[#All],MATCH(I$3,InvDump[#Headers],0),FALSE),"-")</f>
        <v>-</v>
      </c>
      <c r="J80" s="61" t="str">
        <f>IFERROR(VLOOKUP($A80,InvDump[#All],MATCH(J$3,InvDump[#Headers],0),FALSE),"-")</f>
        <v>-</v>
      </c>
      <c r="K80" s="61" t="str">
        <f>IFERROR(VLOOKUP($A80,InvDump[#All],MATCH(K$3,InvDump[#Headers],0),FALSE),"-")</f>
        <v>-</v>
      </c>
      <c r="L80" s="64" t="str">
        <f>IFERROR(VLOOKUP($A80,InvDump[#All],MATCH(L$3,InvDump[#Headers],0),FALSE),"-")</f>
        <v>-</v>
      </c>
      <c r="M80" s="64" t="str">
        <f>IFERROR(VLOOKUP($A80,InvDump[#All],MATCH(M$3,InvDump[#Headers],0),FALSE),"-")</f>
        <v>-</v>
      </c>
      <c r="N80" s="64" t="str">
        <f>IFERROR(VLOOKUP($A80,InvDump[#All],MATCH(N$3,InvDump[#Headers],0),FALSE),"-")</f>
        <v>-</v>
      </c>
      <c r="O80" s="64" t="str">
        <f>IFERROR(VLOOKUP($A80,InvDump[#All],MATCH(O$3,InvDump[#Headers],0),FALSE),"-")</f>
        <v>-</v>
      </c>
      <c r="P80" s="67" t="str">
        <f>IFERROR(VLOOKUP($A80,InvDump[#All],MATCH(P$3,InvDump[#Headers],0),FALSE),"")</f>
        <v/>
      </c>
      <c r="Q80" s="65" t="str">
        <f>IFERROR(VLOOKUP($A80,InvDump[#All],MATCH(Q$3,InvDump[#Headers],0),FALSE),"")</f>
        <v/>
      </c>
      <c r="R80" s="65" t="str">
        <f>IFERROR(IF(VLOOKUP($A80,InvDump[#All],MATCH(R$3,InvDump[#Headers],0),FALSE)=0,"",VLOOKUP($A80,InvDump[#All],MATCH(R$3,InvDump[#Headers],0),FALSE)),"")</f>
        <v/>
      </c>
      <c r="S80" s="66" t="str">
        <f>IFERROR(IF(InvDump[[#This Row],[Annexure]]="Yes",VLOOKUP($A80,InvDump[#All],20,FALSE)&amp;"; "&amp;VLOOKUP($A80,InvDump[#All],22,FALSE),VLOOKUP($A80,InvDump[#All],20,FALSE)),"")</f>
        <v/>
      </c>
    </row>
    <row r="81" spans="1:19" x14ac:dyDescent="0.3">
      <c r="A81" s="68"/>
      <c r="B81" s="61" t="str">
        <f>IFERROR(VLOOKUP($A81,InvDump[#All],MATCH(B$3,InvDump[#Headers],0),FALSE),"-")</f>
        <v>-</v>
      </c>
      <c r="C81" s="62" t="str">
        <f>IFERROR(VLOOKUP($A81,InvDump[#All],MATCH(C$3,InvDump[#Headers],0),FALSE),"-")</f>
        <v>-</v>
      </c>
      <c r="D81" s="61" t="str">
        <f>IFERROR(VLOOKUP($A81,InvDump[#All],MATCH(D$3,InvDump[#Headers],0),FALSE),"-")</f>
        <v>-</v>
      </c>
      <c r="E81" s="61" t="str">
        <f>IFERROR(VLOOKUP($A81,InvDump[#All],MATCH(E$3,InvDump[#Headers],0),FALSE),"-")</f>
        <v>-</v>
      </c>
      <c r="F81" s="61" t="str">
        <f>IFERROR(VLOOKUP($A81,InvDump[#All],MATCH(F$3,InvDump[#Headers],0),FALSE),"-")</f>
        <v>-</v>
      </c>
      <c r="G81" s="61" t="str">
        <f>IFERROR(VLOOKUP($A81,InvDump[#All],MATCH(G$3,InvDump[#Headers],0),FALSE),"-")</f>
        <v>-</v>
      </c>
      <c r="H81" s="63" t="str">
        <f>IFERROR(VLOOKUP(G81,CustomerData!$B$4:$D$13,3),"-")</f>
        <v>-</v>
      </c>
      <c r="I81" s="61" t="str">
        <f>IFERROR(VLOOKUP($A81,InvDump[#All],MATCH(I$3,InvDump[#Headers],0),FALSE),"-")</f>
        <v>-</v>
      </c>
      <c r="J81" s="61" t="str">
        <f>IFERROR(VLOOKUP($A81,InvDump[#All],MATCH(J$3,InvDump[#Headers],0),FALSE),"-")</f>
        <v>-</v>
      </c>
      <c r="K81" s="61" t="str">
        <f>IFERROR(VLOOKUP($A81,InvDump[#All],MATCH(K$3,InvDump[#Headers],0),FALSE),"-")</f>
        <v>-</v>
      </c>
      <c r="L81" s="64" t="str">
        <f>IFERROR(VLOOKUP($A81,InvDump[#All],MATCH(L$3,InvDump[#Headers],0),FALSE),"-")</f>
        <v>-</v>
      </c>
      <c r="M81" s="64" t="str">
        <f>IFERROR(VLOOKUP($A81,InvDump[#All],MATCH(M$3,InvDump[#Headers],0),FALSE),"-")</f>
        <v>-</v>
      </c>
      <c r="N81" s="64" t="str">
        <f>IFERROR(VLOOKUP($A81,InvDump[#All],MATCH(N$3,InvDump[#Headers],0),FALSE),"-")</f>
        <v>-</v>
      </c>
      <c r="O81" s="64" t="str">
        <f>IFERROR(VLOOKUP($A81,InvDump[#All],MATCH(O$3,InvDump[#Headers],0),FALSE),"-")</f>
        <v>-</v>
      </c>
      <c r="P81" s="67" t="str">
        <f>IFERROR(VLOOKUP($A81,InvDump[#All],MATCH(P$3,InvDump[#Headers],0),FALSE),"")</f>
        <v/>
      </c>
      <c r="Q81" s="65" t="str">
        <f>IFERROR(VLOOKUP($A81,InvDump[#All],MATCH(Q$3,InvDump[#Headers],0),FALSE),"")</f>
        <v/>
      </c>
      <c r="R81" s="65" t="str">
        <f>IFERROR(IF(VLOOKUP($A81,InvDump[#All],MATCH(R$3,InvDump[#Headers],0),FALSE)=0,"",VLOOKUP($A81,InvDump[#All],MATCH(R$3,InvDump[#Headers],0),FALSE)),"")</f>
        <v/>
      </c>
      <c r="S81" s="66" t="str">
        <f>IFERROR(IF(InvDump[[#This Row],[Annexure]]="Yes",VLOOKUP($A81,InvDump[#All],20,FALSE)&amp;"; "&amp;VLOOKUP($A81,InvDump[#All],22,FALSE),VLOOKUP($A81,InvDump[#All],20,FALSE)),"")</f>
        <v/>
      </c>
    </row>
    <row r="82" spans="1:19" x14ac:dyDescent="0.3">
      <c r="A82" s="68"/>
      <c r="B82" s="61" t="str">
        <f>IFERROR(VLOOKUP($A82,InvDump[#All],MATCH(B$3,InvDump[#Headers],0),FALSE),"-")</f>
        <v>-</v>
      </c>
      <c r="C82" s="62" t="str">
        <f>IFERROR(VLOOKUP($A82,InvDump[#All],MATCH(C$3,InvDump[#Headers],0),FALSE),"-")</f>
        <v>-</v>
      </c>
      <c r="D82" s="61" t="str">
        <f>IFERROR(VLOOKUP($A82,InvDump[#All],MATCH(D$3,InvDump[#Headers],0),FALSE),"-")</f>
        <v>-</v>
      </c>
      <c r="E82" s="61" t="str">
        <f>IFERROR(VLOOKUP($A82,InvDump[#All],MATCH(E$3,InvDump[#Headers],0),FALSE),"-")</f>
        <v>-</v>
      </c>
      <c r="F82" s="61" t="str">
        <f>IFERROR(VLOOKUP($A82,InvDump[#All],MATCH(F$3,InvDump[#Headers],0),FALSE),"-")</f>
        <v>-</v>
      </c>
      <c r="G82" s="61" t="str">
        <f>IFERROR(VLOOKUP($A82,InvDump[#All],MATCH(G$3,InvDump[#Headers],0),FALSE),"-")</f>
        <v>-</v>
      </c>
      <c r="H82" s="63" t="str">
        <f>IFERROR(VLOOKUP(G82,CustomerData!$B$4:$D$13,3),"-")</f>
        <v>-</v>
      </c>
      <c r="I82" s="61" t="str">
        <f>IFERROR(VLOOKUP($A82,InvDump[#All],MATCH(I$3,InvDump[#Headers],0),FALSE),"-")</f>
        <v>-</v>
      </c>
      <c r="J82" s="61" t="str">
        <f>IFERROR(VLOOKUP($A82,InvDump[#All],MATCH(J$3,InvDump[#Headers],0),FALSE),"-")</f>
        <v>-</v>
      </c>
      <c r="K82" s="61" t="str">
        <f>IFERROR(VLOOKUP($A82,InvDump[#All],MATCH(K$3,InvDump[#Headers],0),FALSE),"-")</f>
        <v>-</v>
      </c>
      <c r="L82" s="64" t="str">
        <f>IFERROR(VLOOKUP($A82,InvDump[#All],MATCH(L$3,InvDump[#Headers],0),FALSE),"-")</f>
        <v>-</v>
      </c>
      <c r="M82" s="64" t="str">
        <f>IFERROR(VLOOKUP($A82,InvDump[#All],MATCH(M$3,InvDump[#Headers],0),FALSE),"-")</f>
        <v>-</v>
      </c>
      <c r="N82" s="64" t="str">
        <f>IFERROR(VLOOKUP($A82,InvDump[#All],MATCH(N$3,InvDump[#Headers],0),FALSE),"-")</f>
        <v>-</v>
      </c>
      <c r="O82" s="64" t="str">
        <f>IFERROR(VLOOKUP($A82,InvDump[#All],MATCH(O$3,InvDump[#Headers],0),FALSE),"-")</f>
        <v>-</v>
      </c>
      <c r="P82" s="67" t="str">
        <f>IFERROR(VLOOKUP($A82,InvDump[#All],MATCH(P$3,InvDump[#Headers],0),FALSE),"")</f>
        <v/>
      </c>
      <c r="Q82" s="65" t="str">
        <f>IFERROR(VLOOKUP($A82,InvDump[#All],MATCH(Q$3,InvDump[#Headers],0),FALSE),"")</f>
        <v/>
      </c>
      <c r="R82" s="65" t="str">
        <f>IFERROR(IF(VLOOKUP($A82,InvDump[#All],MATCH(R$3,InvDump[#Headers],0),FALSE)=0,"",VLOOKUP($A82,InvDump[#All],MATCH(R$3,InvDump[#Headers],0),FALSE)),"")</f>
        <v/>
      </c>
      <c r="S82" s="66" t="str">
        <f>IFERROR(IF(InvDump[[#This Row],[Annexure]]="Yes",VLOOKUP($A82,InvDump[#All],20,FALSE)&amp;"; "&amp;VLOOKUP($A82,InvDump[#All],22,FALSE),VLOOKUP($A82,InvDump[#All],20,FALSE)),"")</f>
        <v/>
      </c>
    </row>
    <row r="83" spans="1:19" x14ac:dyDescent="0.3">
      <c r="A83" s="68"/>
      <c r="B83" s="61" t="str">
        <f>IFERROR(VLOOKUP($A83,InvDump[#All],MATCH(B$3,InvDump[#Headers],0),FALSE),"-")</f>
        <v>-</v>
      </c>
      <c r="C83" s="62" t="str">
        <f>IFERROR(VLOOKUP($A83,InvDump[#All],MATCH(C$3,InvDump[#Headers],0),FALSE),"-")</f>
        <v>-</v>
      </c>
      <c r="D83" s="61" t="str">
        <f>IFERROR(VLOOKUP($A83,InvDump[#All],MATCH(D$3,InvDump[#Headers],0),FALSE),"-")</f>
        <v>-</v>
      </c>
      <c r="E83" s="61" t="str">
        <f>IFERROR(VLOOKUP($A83,InvDump[#All],MATCH(E$3,InvDump[#Headers],0),FALSE),"-")</f>
        <v>-</v>
      </c>
      <c r="F83" s="61" t="str">
        <f>IFERROR(VLOOKUP($A83,InvDump[#All],MATCH(F$3,InvDump[#Headers],0),FALSE),"-")</f>
        <v>-</v>
      </c>
      <c r="G83" s="61" t="str">
        <f>IFERROR(VLOOKUP($A83,InvDump[#All],MATCH(G$3,InvDump[#Headers],0),FALSE),"-")</f>
        <v>-</v>
      </c>
      <c r="H83" s="63" t="str">
        <f>IFERROR(VLOOKUP(G83,CustomerData!$B$4:$D$13,3),"-")</f>
        <v>-</v>
      </c>
      <c r="I83" s="61" t="str">
        <f>IFERROR(VLOOKUP($A83,InvDump[#All],MATCH(I$3,InvDump[#Headers],0),FALSE),"-")</f>
        <v>-</v>
      </c>
      <c r="J83" s="61" t="str">
        <f>IFERROR(VLOOKUP($A83,InvDump[#All],MATCH(J$3,InvDump[#Headers],0),FALSE),"-")</f>
        <v>-</v>
      </c>
      <c r="K83" s="61" t="str">
        <f>IFERROR(VLOOKUP($A83,InvDump[#All],MATCH(K$3,InvDump[#Headers],0),FALSE),"-")</f>
        <v>-</v>
      </c>
      <c r="L83" s="64" t="str">
        <f>IFERROR(VLOOKUP($A83,InvDump[#All],MATCH(L$3,InvDump[#Headers],0),FALSE),"-")</f>
        <v>-</v>
      </c>
      <c r="M83" s="64" t="str">
        <f>IFERROR(VLOOKUP($A83,InvDump[#All],MATCH(M$3,InvDump[#Headers],0),FALSE),"-")</f>
        <v>-</v>
      </c>
      <c r="N83" s="64" t="str">
        <f>IFERROR(VLOOKUP($A83,InvDump[#All],MATCH(N$3,InvDump[#Headers],0),FALSE),"-")</f>
        <v>-</v>
      </c>
      <c r="O83" s="64" t="str">
        <f>IFERROR(VLOOKUP($A83,InvDump[#All],MATCH(O$3,InvDump[#Headers],0),FALSE),"-")</f>
        <v>-</v>
      </c>
      <c r="P83" s="67" t="str">
        <f>IFERROR(VLOOKUP($A83,InvDump[#All],MATCH(P$3,InvDump[#Headers],0),FALSE),"")</f>
        <v/>
      </c>
      <c r="Q83" s="65" t="str">
        <f>IFERROR(VLOOKUP($A83,InvDump[#All],MATCH(Q$3,InvDump[#Headers],0),FALSE),"")</f>
        <v/>
      </c>
      <c r="R83" s="65" t="str">
        <f>IFERROR(IF(VLOOKUP($A83,InvDump[#All],MATCH(R$3,InvDump[#Headers],0),FALSE)=0,"",VLOOKUP($A83,InvDump[#All],MATCH(R$3,InvDump[#Headers],0),FALSE)),"")</f>
        <v/>
      </c>
      <c r="S83" s="66" t="str">
        <f>IFERROR(IF(InvDump[[#This Row],[Annexure]]="Yes",VLOOKUP($A83,InvDump[#All],20,FALSE)&amp;"; "&amp;VLOOKUP($A83,InvDump[#All],22,FALSE),VLOOKUP($A83,InvDump[#All],20,FALSE)),"")</f>
        <v/>
      </c>
    </row>
    <row r="84" spans="1:19" x14ac:dyDescent="0.3">
      <c r="A84" s="68"/>
      <c r="B84" s="61" t="str">
        <f>IFERROR(VLOOKUP($A84,InvDump[#All],MATCH(B$3,InvDump[#Headers],0),FALSE),"-")</f>
        <v>-</v>
      </c>
      <c r="C84" s="62" t="str">
        <f>IFERROR(VLOOKUP($A84,InvDump[#All],MATCH(C$3,InvDump[#Headers],0),FALSE),"-")</f>
        <v>-</v>
      </c>
      <c r="D84" s="61" t="str">
        <f>IFERROR(VLOOKUP($A84,InvDump[#All],MATCH(D$3,InvDump[#Headers],0),FALSE),"-")</f>
        <v>-</v>
      </c>
      <c r="E84" s="61" t="str">
        <f>IFERROR(VLOOKUP($A84,InvDump[#All],MATCH(E$3,InvDump[#Headers],0),FALSE),"-")</f>
        <v>-</v>
      </c>
      <c r="F84" s="61" t="str">
        <f>IFERROR(VLOOKUP($A84,InvDump[#All],MATCH(F$3,InvDump[#Headers],0),FALSE),"-")</f>
        <v>-</v>
      </c>
      <c r="G84" s="61" t="str">
        <f>IFERROR(VLOOKUP($A84,InvDump[#All],MATCH(G$3,InvDump[#Headers],0),FALSE),"-")</f>
        <v>-</v>
      </c>
      <c r="H84" s="63" t="str">
        <f>IFERROR(VLOOKUP(G84,CustomerData!$B$4:$D$13,3),"-")</f>
        <v>-</v>
      </c>
      <c r="I84" s="61" t="str">
        <f>IFERROR(VLOOKUP($A84,InvDump[#All],MATCH(I$3,InvDump[#Headers],0),FALSE),"-")</f>
        <v>-</v>
      </c>
      <c r="J84" s="61" t="str">
        <f>IFERROR(VLOOKUP($A84,InvDump[#All],MATCH(J$3,InvDump[#Headers],0),FALSE),"-")</f>
        <v>-</v>
      </c>
      <c r="K84" s="61" t="str">
        <f>IFERROR(VLOOKUP($A84,InvDump[#All],MATCH(K$3,InvDump[#Headers],0),FALSE),"-")</f>
        <v>-</v>
      </c>
      <c r="L84" s="64" t="str">
        <f>IFERROR(VLOOKUP($A84,InvDump[#All],MATCH(L$3,InvDump[#Headers],0),FALSE),"-")</f>
        <v>-</v>
      </c>
      <c r="M84" s="64" t="str">
        <f>IFERROR(VLOOKUP($A84,InvDump[#All],MATCH(M$3,InvDump[#Headers],0),FALSE),"-")</f>
        <v>-</v>
      </c>
      <c r="N84" s="64" t="str">
        <f>IFERROR(VLOOKUP($A84,InvDump[#All],MATCH(N$3,InvDump[#Headers],0),FALSE),"-")</f>
        <v>-</v>
      </c>
      <c r="O84" s="64" t="str">
        <f>IFERROR(VLOOKUP($A84,InvDump[#All],MATCH(O$3,InvDump[#Headers],0),FALSE),"-")</f>
        <v>-</v>
      </c>
      <c r="P84" s="67" t="str">
        <f>IFERROR(VLOOKUP($A84,InvDump[#All],MATCH(P$3,InvDump[#Headers],0),FALSE),"")</f>
        <v/>
      </c>
      <c r="Q84" s="65" t="str">
        <f>IFERROR(VLOOKUP($A84,InvDump[#All],MATCH(Q$3,InvDump[#Headers],0),FALSE),"")</f>
        <v/>
      </c>
      <c r="R84" s="65" t="str">
        <f>IFERROR(IF(VLOOKUP($A84,InvDump[#All],MATCH(R$3,InvDump[#Headers],0),FALSE)=0,"",VLOOKUP($A84,InvDump[#All],MATCH(R$3,InvDump[#Headers],0),FALSE)),"")</f>
        <v/>
      </c>
      <c r="S84" s="66" t="str">
        <f>IFERROR(IF(InvDump[[#This Row],[Annexure]]="Yes",VLOOKUP($A84,InvDump[#All],20,FALSE)&amp;"; "&amp;VLOOKUP($A84,InvDump[#All],22,FALSE),VLOOKUP($A84,InvDump[#All],20,FALSE)),"")</f>
        <v/>
      </c>
    </row>
    <row r="85" spans="1:19" x14ac:dyDescent="0.3">
      <c r="A85" s="68"/>
      <c r="B85" s="61" t="str">
        <f>IFERROR(VLOOKUP($A85,InvDump[#All],MATCH(B$3,InvDump[#Headers],0),FALSE),"-")</f>
        <v>-</v>
      </c>
      <c r="C85" s="62" t="str">
        <f>IFERROR(VLOOKUP($A85,InvDump[#All],MATCH(C$3,InvDump[#Headers],0),FALSE),"-")</f>
        <v>-</v>
      </c>
      <c r="D85" s="61" t="str">
        <f>IFERROR(VLOOKUP($A85,InvDump[#All],MATCH(D$3,InvDump[#Headers],0),FALSE),"-")</f>
        <v>-</v>
      </c>
      <c r="E85" s="61" t="str">
        <f>IFERROR(VLOOKUP($A85,InvDump[#All],MATCH(E$3,InvDump[#Headers],0),FALSE),"-")</f>
        <v>-</v>
      </c>
      <c r="F85" s="61" t="str">
        <f>IFERROR(VLOOKUP($A85,InvDump[#All],MATCH(F$3,InvDump[#Headers],0),FALSE),"-")</f>
        <v>-</v>
      </c>
      <c r="G85" s="61" t="str">
        <f>IFERROR(VLOOKUP($A85,InvDump[#All],MATCH(G$3,InvDump[#Headers],0),FALSE),"-")</f>
        <v>-</v>
      </c>
      <c r="H85" s="63" t="str">
        <f>IFERROR(VLOOKUP(G85,CustomerData!$B$4:$D$13,3),"-")</f>
        <v>-</v>
      </c>
      <c r="I85" s="61" t="str">
        <f>IFERROR(VLOOKUP($A85,InvDump[#All],MATCH(I$3,InvDump[#Headers],0),FALSE),"-")</f>
        <v>-</v>
      </c>
      <c r="J85" s="61" t="str">
        <f>IFERROR(VLOOKUP($A85,InvDump[#All],MATCH(J$3,InvDump[#Headers],0),FALSE),"-")</f>
        <v>-</v>
      </c>
      <c r="K85" s="61" t="str">
        <f>IFERROR(VLOOKUP($A85,InvDump[#All],MATCH(K$3,InvDump[#Headers],0),FALSE),"-")</f>
        <v>-</v>
      </c>
      <c r="L85" s="64" t="str">
        <f>IFERROR(VLOOKUP($A85,InvDump[#All],MATCH(L$3,InvDump[#Headers],0),FALSE),"-")</f>
        <v>-</v>
      </c>
      <c r="M85" s="64" t="str">
        <f>IFERROR(VLOOKUP($A85,InvDump[#All],MATCH(M$3,InvDump[#Headers],0),FALSE),"-")</f>
        <v>-</v>
      </c>
      <c r="N85" s="64" t="str">
        <f>IFERROR(VLOOKUP($A85,InvDump[#All],MATCH(N$3,InvDump[#Headers],0),FALSE),"-")</f>
        <v>-</v>
      </c>
      <c r="O85" s="64" t="str">
        <f>IFERROR(VLOOKUP($A85,InvDump[#All],MATCH(O$3,InvDump[#Headers],0),FALSE),"-")</f>
        <v>-</v>
      </c>
      <c r="P85" s="67" t="str">
        <f>IFERROR(VLOOKUP($A85,InvDump[#All],MATCH(P$3,InvDump[#Headers],0),FALSE),"")</f>
        <v/>
      </c>
      <c r="Q85" s="65" t="str">
        <f>IFERROR(VLOOKUP($A85,InvDump[#All],MATCH(Q$3,InvDump[#Headers],0),FALSE),"")</f>
        <v/>
      </c>
      <c r="R85" s="65" t="str">
        <f>IFERROR(IF(VLOOKUP($A85,InvDump[#All],MATCH(R$3,InvDump[#Headers],0),FALSE)=0,"",VLOOKUP($A85,InvDump[#All],MATCH(R$3,InvDump[#Headers],0),FALSE)),"")</f>
        <v/>
      </c>
      <c r="S85" s="66" t="str">
        <f>IFERROR(IF(InvDump[[#This Row],[Annexure]]="Yes",VLOOKUP($A85,InvDump[#All],20,FALSE)&amp;"; "&amp;VLOOKUP($A85,InvDump[#All],22,FALSE),VLOOKUP($A85,InvDump[#All],20,FALSE)),"")</f>
        <v/>
      </c>
    </row>
    <row r="86" spans="1:19" x14ac:dyDescent="0.3">
      <c r="A86" s="68"/>
      <c r="B86" s="61" t="str">
        <f>IFERROR(VLOOKUP($A86,InvDump[#All],MATCH(B$3,InvDump[#Headers],0),FALSE),"-")</f>
        <v>-</v>
      </c>
      <c r="C86" s="62" t="str">
        <f>IFERROR(VLOOKUP($A86,InvDump[#All],MATCH(C$3,InvDump[#Headers],0),FALSE),"-")</f>
        <v>-</v>
      </c>
      <c r="D86" s="61" t="str">
        <f>IFERROR(VLOOKUP($A86,InvDump[#All],MATCH(D$3,InvDump[#Headers],0),FALSE),"-")</f>
        <v>-</v>
      </c>
      <c r="E86" s="61" t="str">
        <f>IFERROR(VLOOKUP($A86,InvDump[#All],MATCH(E$3,InvDump[#Headers],0),FALSE),"-")</f>
        <v>-</v>
      </c>
      <c r="F86" s="61" t="str">
        <f>IFERROR(VLOOKUP($A86,InvDump[#All],MATCH(F$3,InvDump[#Headers],0),FALSE),"-")</f>
        <v>-</v>
      </c>
      <c r="G86" s="61" t="str">
        <f>IFERROR(VLOOKUP($A86,InvDump[#All],MATCH(G$3,InvDump[#Headers],0),FALSE),"-")</f>
        <v>-</v>
      </c>
      <c r="H86" s="63" t="str">
        <f>IFERROR(VLOOKUP(G86,CustomerData!$B$4:$D$13,3),"-")</f>
        <v>-</v>
      </c>
      <c r="I86" s="61" t="str">
        <f>IFERROR(VLOOKUP($A86,InvDump[#All],MATCH(I$3,InvDump[#Headers],0),FALSE),"-")</f>
        <v>-</v>
      </c>
      <c r="J86" s="61" t="str">
        <f>IFERROR(VLOOKUP($A86,InvDump[#All],MATCH(J$3,InvDump[#Headers],0),FALSE),"-")</f>
        <v>-</v>
      </c>
      <c r="K86" s="61" t="str">
        <f>IFERROR(VLOOKUP($A86,InvDump[#All],MATCH(K$3,InvDump[#Headers],0),FALSE),"-")</f>
        <v>-</v>
      </c>
      <c r="L86" s="64" t="str">
        <f>IFERROR(VLOOKUP($A86,InvDump[#All],MATCH(L$3,InvDump[#Headers],0),FALSE),"-")</f>
        <v>-</v>
      </c>
      <c r="M86" s="64" t="str">
        <f>IFERROR(VLOOKUP($A86,InvDump[#All],MATCH(M$3,InvDump[#Headers],0),FALSE),"-")</f>
        <v>-</v>
      </c>
      <c r="N86" s="64" t="str">
        <f>IFERROR(VLOOKUP($A86,InvDump[#All],MATCH(N$3,InvDump[#Headers],0),FALSE),"-")</f>
        <v>-</v>
      </c>
      <c r="O86" s="64" t="str">
        <f>IFERROR(VLOOKUP($A86,InvDump[#All],MATCH(O$3,InvDump[#Headers],0),FALSE),"-")</f>
        <v>-</v>
      </c>
      <c r="P86" s="67" t="str">
        <f>IFERROR(VLOOKUP($A86,InvDump[#All],MATCH(P$3,InvDump[#Headers],0),FALSE),"")</f>
        <v/>
      </c>
      <c r="Q86" s="65" t="str">
        <f>IFERROR(VLOOKUP($A86,InvDump[#All],MATCH(Q$3,InvDump[#Headers],0),FALSE),"")</f>
        <v/>
      </c>
      <c r="R86" s="65" t="str">
        <f>IFERROR(IF(VLOOKUP($A86,InvDump[#All],MATCH(R$3,InvDump[#Headers],0),FALSE)=0,"",VLOOKUP($A86,InvDump[#All],MATCH(R$3,InvDump[#Headers],0),FALSE)),"")</f>
        <v/>
      </c>
      <c r="S86" s="66" t="str">
        <f>IFERROR(IF(InvDump[[#This Row],[Annexure]]="Yes",VLOOKUP($A86,InvDump[#All],20,FALSE)&amp;"; "&amp;VLOOKUP($A86,InvDump[#All],22,FALSE),VLOOKUP($A86,InvDump[#All],20,FALSE)),"")</f>
        <v/>
      </c>
    </row>
    <row r="87" spans="1:19" x14ac:dyDescent="0.3">
      <c r="A87" s="68"/>
      <c r="B87" s="61" t="str">
        <f>IFERROR(VLOOKUP($A87,InvDump[#All],MATCH(B$3,InvDump[#Headers],0),FALSE),"-")</f>
        <v>-</v>
      </c>
      <c r="C87" s="62" t="str">
        <f>IFERROR(VLOOKUP($A87,InvDump[#All],MATCH(C$3,InvDump[#Headers],0),FALSE),"-")</f>
        <v>-</v>
      </c>
      <c r="D87" s="61" t="str">
        <f>IFERROR(VLOOKUP($A87,InvDump[#All],MATCH(D$3,InvDump[#Headers],0),FALSE),"-")</f>
        <v>-</v>
      </c>
      <c r="E87" s="61" t="str">
        <f>IFERROR(VLOOKUP($A87,InvDump[#All],MATCH(E$3,InvDump[#Headers],0),FALSE),"-")</f>
        <v>-</v>
      </c>
      <c r="F87" s="61" t="str">
        <f>IFERROR(VLOOKUP($A87,InvDump[#All],MATCH(F$3,InvDump[#Headers],0),FALSE),"-")</f>
        <v>-</v>
      </c>
      <c r="G87" s="61" t="str">
        <f>IFERROR(VLOOKUP($A87,InvDump[#All],MATCH(G$3,InvDump[#Headers],0),FALSE),"-")</f>
        <v>-</v>
      </c>
      <c r="H87" s="63" t="str">
        <f>IFERROR(VLOOKUP(G87,CustomerData!$B$4:$D$13,3),"-")</f>
        <v>-</v>
      </c>
      <c r="I87" s="61" t="str">
        <f>IFERROR(VLOOKUP($A87,InvDump[#All],MATCH(I$3,InvDump[#Headers],0),FALSE),"-")</f>
        <v>-</v>
      </c>
      <c r="J87" s="61" t="str">
        <f>IFERROR(VLOOKUP($A87,InvDump[#All],MATCH(J$3,InvDump[#Headers],0),FALSE),"-")</f>
        <v>-</v>
      </c>
      <c r="K87" s="61" t="str">
        <f>IFERROR(VLOOKUP($A87,InvDump[#All],MATCH(K$3,InvDump[#Headers],0),FALSE),"-")</f>
        <v>-</v>
      </c>
      <c r="L87" s="64" t="str">
        <f>IFERROR(VLOOKUP($A87,InvDump[#All],MATCH(L$3,InvDump[#Headers],0),FALSE),"-")</f>
        <v>-</v>
      </c>
      <c r="M87" s="64" t="str">
        <f>IFERROR(VLOOKUP($A87,InvDump[#All],MATCH(M$3,InvDump[#Headers],0),FALSE),"-")</f>
        <v>-</v>
      </c>
      <c r="N87" s="64" t="str">
        <f>IFERROR(VLOOKUP($A87,InvDump[#All],MATCH(N$3,InvDump[#Headers],0),FALSE),"-")</f>
        <v>-</v>
      </c>
      <c r="O87" s="64" t="str">
        <f>IFERROR(VLOOKUP($A87,InvDump[#All],MATCH(O$3,InvDump[#Headers],0),FALSE),"-")</f>
        <v>-</v>
      </c>
      <c r="P87" s="65" t="str">
        <f>IFERROR(VLOOKUP($A87,InvDump[#All],MATCH(P$3,InvDump[#Headers],0),FALSE),"")</f>
        <v/>
      </c>
      <c r="Q87" s="65" t="str">
        <f>IFERROR(VLOOKUP($A87,InvDump[#All],MATCH(Q$3,InvDump[#Headers],0),FALSE),"")</f>
        <v/>
      </c>
      <c r="R87" s="65" t="str">
        <f>IFERROR(IF(VLOOKUP($A87,InvDump[#All],MATCH(R$3,InvDump[#Headers],0),FALSE)=0,"",VLOOKUP($A87,InvDump[#All],MATCH(R$3,InvDump[#Headers],0),FALSE)),"")</f>
        <v/>
      </c>
      <c r="S87" s="64" t="str">
        <f>IFERROR(IF(InvDump[[#This Row],[Annexure]]="Yes",VLOOKUP($A87,InvDump[#All],21,FALSE)&amp;"; "&amp;VLOOKUP($A87,InvDump[#All],23,FALSE),VLOOKUP($A87,InvDump[#All],21,FALSE)),"")</f>
        <v/>
      </c>
    </row>
    <row r="88" spans="1:19" x14ac:dyDescent="0.3">
      <c r="A88" s="68"/>
      <c r="B88" s="61" t="str">
        <f>IFERROR(VLOOKUP($A88,InvDump[#All],MATCH(B$3,InvDump[#Headers],0),FALSE),"-")</f>
        <v>-</v>
      </c>
      <c r="C88" s="62" t="str">
        <f>IFERROR(VLOOKUP($A88,InvDump[#All],MATCH(C$3,InvDump[#Headers],0),FALSE),"-")</f>
        <v>-</v>
      </c>
      <c r="D88" s="61" t="str">
        <f>IFERROR(VLOOKUP($A88,InvDump[#All],MATCH(D$3,InvDump[#Headers],0),FALSE),"-")</f>
        <v>-</v>
      </c>
      <c r="E88" s="61" t="str">
        <f>IFERROR(VLOOKUP($A88,InvDump[#All],MATCH(E$3,InvDump[#Headers],0),FALSE),"-")</f>
        <v>-</v>
      </c>
      <c r="F88" s="61" t="str">
        <f>IFERROR(VLOOKUP($A88,InvDump[#All],MATCH(F$3,InvDump[#Headers],0),FALSE),"-")</f>
        <v>-</v>
      </c>
      <c r="G88" s="61" t="str">
        <f>IFERROR(VLOOKUP($A88,InvDump[#All],MATCH(G$3,InvDump[#Headers],0),FALSE),"-")</f>
        <v>-</v>
      </c>
      <c r="H88" s="63" t="str">
        <f>IFERROR(VLOOKUP(G88,CustomerData!$B$4:$D$13,3),"-")</f>
        <v>-</v>
      </c>
      <c r="I88" s="61" t="str">
        <f>IFERROR(VLOOKUP($A88,InvDump[#All],MATCH(I$3,InvDump[#Headers],0),FALSE),"-")</f>
        <v>-</v>
      </c>
      <c r="J88" s="61" t="str">
        <f>IFERROR(VLOOKUP($A88,InvDump[#All],MATCH(J$3,InvDump[#Headers],0),FALSE),"-")</f>
        <v>-</v>
      </c>
      <c r="K88" s="61" t="str">
        <f>IFERROR(VLOOKUP($A88,InvDump[#All],MATCH(K$3,InvDump[#Headers],0),FALSE),"-")</f>
        <v>-</v>
      </c>
      <c r="L88" s="64" t="str">
        <f>IFERROR(VLOOKUP($A88,InvDump[#All],MATCH(L$3,InvDump[#Headers],0),FALSE),"-")</f>
        <v>-</v>
      </c>
      <c r="M88" s="64" t="str">
        <f>IFERROR(VLOOKUP($A88,InvDump[#All],MATCH(M$3,InvDump[#Headers],0),FALSE),"-")</f>
        <v>-</v>
      </c>
      <c r="N88" s="64" t="str">
        <f>IFERROR(VLOOKUP($A88,InvDump[#All],MATCH(N$3,InvDump[#Headers],0),FALSE),"-")</f>
        <v>-</v>
      </c>
      <c r="O88" s="64" t="str">
        <f>IFERROR(VLOOKUP($A88,InvDump[#All],MATCH(O$3,InvDump[#Headers],0),FALSE),"-")</f>
        <v>-</v>
      </c>
      <c r="P88" s="65" t="str">
        <f>IFERROR(VLOOKUP($A88,InvDump[#All],MATCH(P$3,InvDump[#Headers],0),FALSE),"")</f>
        <v/>
      </c>
      <c r="Q88" s="65" t="str">
        <f>IFERROR(VLOOKUP($A88,InvDump[#All],MATCH(Q$3,InvDump[#Headers],0),FALSE),"")</f>
        <v/>
      </c>
      <c r="R88" s="65" t="str">
        <f>IFERROR(IF(VLOOKUP($A88,InvDump[#All],MATCH(R$3,InvDump[#Headers],0),FALSE)=0,"",VLOOKUP($A88,InvDump[#All],MATCH(R$3,InvDump[#Headers],0),FALSE)),"")</f>
        <v/>
      </c>
      <c r="S88" s="64" t="str">
        <f>IFERROR(IF(InvDump[[#This Row],[Annexure]]="Yes",VLOOKUP($A88,InvDump[#All],21,FALSE)&amp;"; "&amp;VLOOKUP($A88,InvDump[#All],23,FALSE),VLOOKUP($A88,InvDump[#All],21,FALSE)),"")</f>
        <v/>
      </c>
    </row>
    <row r="89" spans="1:19" x14ac:dyDescent="0.3">
      <c r="A89" s="68"/>
      <c r="B89" s="61" t="str">
        <f>IFERROR(VLOOKUP($A89,InvDump[#All],MATCH(B$3,InvDump[#Headers],0),FALSE),"-")</f>
        <v>-</v>
      </c>
      <c r="C89" s="62" t="str">
        <f>IFERROR(VLOOKUP($A89,InvDump[#All],MATCH(C$3,InvDump[#Headers],0),FALSE),"-")</f>
        <v>-</v>
      </c>
      <c r="D89" s="61" t="str">
        <f>IFERROR(VLOOKUP($A89,InvDump[#All],MATCH(D$3,InvDump[#Headers],0),FALSE),"-")</f>
        <v>-</v>
      </c>
      <c r="E89" s="61" t="str">
        <f>IFERROR(VLOOKUP($A89,InvDump[#All],MATCH(E$3,InvDump[#Headers],0),FALSE),"-")</f>
        <v>-</v>
      </c>
      <c r="F89" s="61" t="str">
        <f>IFERROR(VLOOKUP($A89,InvDump[#All],MATCH(F$3,InvDump[#Headers],0),FALSE),"-")</f>
        <v>-</v>
      </c>
      <c r="G89" s="61" t="str">
        <f>IFERROR(VLOOKUP($A89,InvDump[#All],MATCH(G$3,InvDump[#Headers],0),FALSE),"-")</f>
        <v>-</v>
      </c>
      <c r="H89" s="63" t="str">
        <f>IFERROR(VLOOKUP(G89,CustomerData!$B$4:$D$13,3),"-")</f>
        <v>-</v>
      </c>
      <c r="I89" s="61" t="str">
        <f>IFERROR(VLOOKUP($A89,InvDump[#All],MATCH(I$3,InvDump[#Headers],0),FALSE),"-")</f>
        <v>-</v>
      </c>
      <c r="J89" s="61" t="str">
        <f>IFERROR(VLOOKUP($A89,InvDump[#All],MATCH(J$3,InvDump[#Headers],0),FALSE),"-")</f>
        <v>-</v>
      </c>
      <c r="K89" s="61" t="str">
        <f>IFERROR(VLOOKUP($A89,InvDump[#All],MATCH(K$3,InvDump[#Headers],0),FALSE),"-")</f>
        <v>-</v>
      </c>
      <c r="L89" s="64" t="str">
        <f>IFERROR(VLOOKUP($A89,InvDump[#All],MATCH(L$3,InvDump[#Headers],0),FALSE),"-")</f>
        <v>-</v>
      </c>
      <c r="M89" s="64" t="str">
        <f>IFERROR(VLOOKUP($A89,InvDump[#All],MATCH(M$3,InvDump[#Headers],0),FALSE),"-")</f>
        <v>-</v>
      </c>
      <c r="N89" s="64" t="str">
        <f>IFERROR(VLOOKUP($A89,InvDump[#All],MATCH(N$3,InvDump[#Headers],0),FALSE),"-")</f>
        <v>-</v>
      </c>
      <c r="O89" s="64" t="str">
        <f>IFERROR(VLOOKUP($A89,InvDump[#All],MATCH(O$3,InvDump[#Headers],0),FALSE),"-")</f>
        <v>-</v>
      </c>
      <c r="P89" s="65" t="str">
        <f>IFERROR(VLOOKUP($A89,InvDump[#All],MATCH(P$3,InvDump[#Headers],0),FALSE),"")</f>
        <v/>
      </c>
      <c r="Q89" s="65" t="str">
        <f>IFERROR(VLOOKUP($A89,InvDump[#All],MATCH(Q$3,InvDump[#Headers],0),FALSE),"")</f>
        <v/>
      </c>
      <c r="R89" s="65" t="str">
        <f>IFERROR(IF(VLOOKUP($A89,InvDump[#All],MATCH(R$3,InvDump[#Headers],0),FALSE)=0,"",VLOOKUP($A89,InvDump[#All],MATCH(R$3,InvDump[#Headers],0),FALSE)),"")</f>
        <v/>
      </c>
      <c r="S89" s="64" t="str">
        <f>IFERROR(IF(InvDump[[#This Row],[Annexure]]="Yes",VLOOKUP($A89,InvDump[#All],21,FALSE)&amp;"; "&amp;VLOOKUP($A89,InvDump[#All],23,FALSE),VLOOKUP($A89,InvDump[#All],21,FALSE)),"")</f>
        <v/>
      </c>
    </row>
    <row r="90" spans="1:19" x14ac:dyDescent="0.3">
      <c r="A90" s="68"/>
      <c r="B90" s="61" t="str">
        <f>IFERROR(VLOOKUP($A90,InvDump[#All],MATCH(B$3,InvDump[#Headers],0),FALSE),"-")</f>
        <v>-</v>
      </c>
      <c r="C90" s="62" t="str">
        <f>IFERROR(VLOOKUP($A90,InvDump[#All],MATCH(C$3,InvDump[#Headers],0),FALSE),"-")</f>
        <v>-</v>
      </c>
      <c r="D90" s="61" t="str">
        <f>IFERROR(VLOOKUP($A90,InvDump[#All],MATCH(D$3,InvDump[#Headers],0),FALSE),"-")</f>
        <v>-</v>
      </c>
      <c r="E90" s="61" t="str">
        <f>IFERROR(VLOOKUP($A90,InvDump[#All],MATCH(E$3,InvDump[#Headers],0),FALSE),"-")</f>
        <v>-</v>
      </c>
      <c r="F90" s="61" t="str">
        <f>IFERROR(VLOOKUP($A90,InvDump[#All],MATCH(F$3,InvDump[#Headers],0),FALSE),"-")</f>
        <v>-</v>
      </c>
      <c r="G90" s="61" t="str">
        <f>IFERROR(VLOOKUP($A90,InvDump[#All],MATCH(G$3,InvDump[#Headers],0),FALSE),"-")</f>
        <v>-</v>
      </c>
      <c r="H90" s="63" t="str">
        <f>IFERROR(VLOOKUP(G90,CustomerData!$B$4:$D$13,3),"-")</f>
        <v>-</v>
      </c>
      <c r="I90" s="61" t="str">
        <f>IFERROR(VLOOKUP($A90,InvDump[#All],MATCH(I$3,InvDump[#Headers],0),FALSE),"-")</f>
        <v>-</v>
      </c>
      <c r="J90" s="61" t="str">
        <f>IFERROR(VLOOKUP($A90,InvDump[#All],MATCH(J$3,InvDump[#Headers],0),FALSE),"-")</f>
        <v>-</v>
      </c>
      <c r="K90" s="61" t="str">
        <f>IFERROR(VLOOKUP($A90,InvDump[#All],MATCH(K$3,InvDump[#Headers],0),FALSE),"-")</f>
        <v>-</v>
      </c>
      <c r="L90" s="64" t="str">
        <f>IFERROR(VLOOKUP($A90,InvDump[#All],MATCH(L$3,InvDump[#Headers],0),FALSE),"-")</f>
        <v>-</v>
      </c>
      <c r="M90" s="64" t="str">
        <f>IFERROR(VLOOKUP($A90,InvDump[#All],MATCH(M$3,InvDump[#Headers],0),FALSE),"-")</f>
        <v>-</v>
      </c>
      <c r="N90" s="64" t="str">
        <f>IFERROR(VLOOKUP($A90,InvDump[#All],MATCH(N$3,InvDump[#Headers],0),FALSE),"-")</f>
        <v>-</v>
      </c>
      <c r="O90" s="64" t="str">
        <f>IFERROR(VLOOKUP($A90,InvDump[#All],MATCH(O$3,InvDump[#Headers],0),FALSE),"-")</f>
        <v>-</v>
      </c>
      <c r="P90" s="65" t="str">
        <f>IFERROR(VLOOKUP($A90,InvDump[#All],MATCH(P$3,InvDump[#Headers],0),FALSE),"")</f>
        <v/>
      </c>
      <c r="Q90" s="65" t="str">
        <f>IFERROR(VLOOKUP($A90,InvDump[#All],MATCH(Q$3,InvDump[#Headers],0),FALSE),"")</f>
        <v/>
      </c>
      <c r="R90" s="65" t="str">
        <f>IFERROR(IF(VLOOKUP($A90,InvDump[#All],MATCH(R$3,InvDump[#Headers],0),FALSE)=0,"",VLOOKUP($A90,InvDump[#All],MATCH(R$3,InvDump[#Headers],0),FALSE)),"")</f>
        <v/>
      </c>
      <c r="S90" s="64" t="str">
        <f>IFERROR(IF(InvDump[[#This Row],[Annexure]]="Yes",VLOOKUP($A90,InvDump[#All],21,FALSE)&amp;"; "&amp;VLOOKUP($A90,InvDump[#All],23,FALSE),VLOOKUP($A90,InvDump[#All],21,FALSE)),"")</f>
        <v/>
      </c>
    </row>
    <row r="91" spans="1:19" x14ac:dyDescent="0.3">
      <c r="A91" s="68"/>
      <c r="B91" s="61" t="str">
        <f>IFERROR(VLOOKUP($A91,InvDump[#All],MATCH(B$3,InvDump[#Headers],0),FALSE),"-")</f>
        <v>-</v>
      </c>
      <c r="C91" s="62" t="str">
        <f>IFERROR(VLOOKUP($A91,InvDump[#All],MATCH(C$3,InvDump[#Headers],0),FALSE),"-")</f>
        <v>-</v>
      </c>
      <c r="D91" s="61" t="str">
        <f>IFERROR(VLOOKUP($A91,InvDump[#All],MATCH(D$3,InvDump[#Headers],0),FALSE),"-")</f>
        <v>-</v>
      </c>
      <c r="E91" s="61" t="str">
        <f>IFERROR(VLOOKUP($A91,InvDump[#All],MATCH(E$3,InvDump[#Headers],0),FALSE),"-")</f>
        <v>-</v>
      </c>
      <c r="F91" s="61" t="str">
        <f>IFERROR(VLOOKUP($A91,InvDump[#All],MATCH(F$3,InvDump[#Headers],0),FALSE),"-")</f>
        <v>-</v>
      </c>
      <c r="G91" s="61" t="str">
        <f>IFERROR(VLOOKUP($A91,InvDump[#All],MATCH(G$3,InvDump[#Headers],0),FALSE),"-")</f>
        <v>-</v>
      </c>
      <c r="H91" s="63" t="str">
        <f>IFERROR(VLOOKUP(G91,CustomerData!$B$4:$D$13,3),"-")</f>
        <v>-</v>
      </c>
      <c r="I91" s="61" t="str">
        <f>IFERROR(VLOOKUP($A91,InvDump[#All],MATCH(I$3,InvDump[#Headers],0),FALSE),"-")</f>
        <v>-</v>
      </c>
      <c r="J91" s="61" t="str">
        <f>IFERROR(VLOOKUP($A91,InvDump[#All],MATCH(J$3,InvDump[#Headers],0),FALSE),"-")</f>
        <v>-</v>
      </c>
      <c r="K91" s="61" t="str">
        <f>IFERROR(VLOOKUP($A91,InvDump[#All],MATCH(K$3,InvDump[#Headers],0),FALSE),"-")</f>
        <v>-</v>
      </c>
      <c r="L91" s="64" t="str">
        <f>IFERROR(VLOOKUP($A91,InvDump[#All],MATCH(L$3,InvDump[#Headers],0),FALSE),"-")</f>
        <v>-</v>
      </c>
      <c r="M91" s="64" t="str">
        <f>IFERROR(VLOOKUP($A91,InvDump[#All],MATCH(M$3,InvDump[#Headers],0),FALSE),"-")</f>
        <v>-</v>
      </c>
      <c r="N91" s="64" t="str">
        <f>IFERROR(VLOOKUP($A91,InvDump[#All],MATCH(N$3,InvDump[#Headers],0),FALSE),"-")</f>
        <v>-</v>
      </c>
      <c r="O91" s="64" t="str">
        <f>IFERROR(VLOOKUP($A91,InvDump[#All],MATCH(O$3,InvDump[#Headers],0),FALSE),"-")</f>
        <v>-</v>
      </c>
      <c r="P91" s="65" t="str">
        <f>IFERROR(VLOOKUP($A91,InvDump[#All],MATCH(P$3,InvDump[#Headers],0),FALSE),"")</f>
        <v/>
      </c>
      <c r="Q91" s="65" t="str">
        <f>IFERROR(VLOOKUP($A91,InvDump[#All],MATCH(Q$3,InvDump[#Headers],0),FALSE),"")</f>
        <v/>
      </c>
      <c r="R91" s="65" t="str">
        <f>IFERROR(IF(VLOOKUP($A91,InvDump[#All],MATCH(R$3,InvDump[#Headers],0),FALSE)=0,"",VLOOKUP($A91,InvDump[#All],MATCH(R$3,InvDump[#Headers],0),FALSE)),"")</f>
        <v/>
      </c>
      <c r="S91" s="64" t="str">
        <f>IFERROR(IF(InvDump[[#This Row],[Annexure]]="Yes",VLOOKUP($A91,InvDump[#All],21,FALSE)&amp;"; "&amp;VLOOKUP($A91,InvDump[#All],23,FALSE),VLOOKUP($A91,InvDump[#All],21,FALSE)),"")</f>
        <v/>
      </c>
    </row>
    <row r="92" spans="1:19" x14ac:dyDescent="0.3">
      <c r="A92" s="68"/>
      <c r="B92" s="61" t="str">
        <f>IFERROR(VLOOKUP($A92,InvDump[#All],MATCH(B$3,InvDump[#Headers],0),FALSE),"-")</f>
        <v>-</v>
      </c>
      <c r="C92" s="62" t="str">
        <f>IFERROR(VLOOKUP($A92,InvDump[#All],MATCH(C$3,InvDump[#Headers],0),FALSE),"-")</f>
        <v>-</v>
      </c>
      <c r="D92" s="61" t="str">
        <f>IFERROR(VLOOKUP($A92,InvDump[#All],MATCH(D$3,InvDump[#Headers],0),FALSE),"-")</f>
        <v>-</v>
      </c>
      <c r="E92" s="61" t="str">
        <f>IFERROR(VLOOKUP($A92,InvDump[#All],MATCH(E$3,InvDump[#Headers],0),FALSE),"-")</f>
        <v>-</v>
      </c>
      <c r="F92" s="61" t="str">
        <f>IFERROR(VLOOKUP($A92,InvDump[#All],MATCH(F$3,InvDump[#Headers],0),FALSE),"-")</f>
        <v>-</v>
      </c>
      <c r="G92" s="61" t="str">
        <f>IFERROR(VLOOKUP($A92,InvDump[#All],MATCH(G$3,InvDump[#Headers],0),FALSE),"-")</f>
        <v>-</v>
      </c>
      <c r="H92" s="63" t="str">
        <f>IFERROR(VLOOKUP(G92,CustomerData!$B$4:$D$13,3),"-")</f>
        <v>-</v>
      </c>
      <c r="I92" s="61" t="str">
        <f>IFERROR(VLOOKUP($A92,InvDump[#All],MATCH(I$3,InvDump[#Headers],0),FALSE),"-")</f>
        <v>-</v>
      </c>
      <c r="J92" s="61" t="str">
        <f>IFERROR(VLOOKUP($A92,InvDump[#All],MATCH(J$3,InvDump[#Headers],0),FALSE),"-")</f>
        <v>-</v>
      </c>
      <c r="K92" s="61" t="str">
        <f>IFERROR(VLOOKUP($A92,InvDump[#All],MATCH(K$3,InvDump[#Headers],0),FALSE),"-")</f>
        <v>-</v>
      </c>
      <c r="L92" s="64" t="str">
        <f>IFERROR(VLOOKUP($A92,InvDump[#All],MATCH(L$3,InvDump[#Headers],0),FALSE),"-")</f>
        <v>-</v>
      </c>
      <c r="M92" s="64" t="str">
        <f>IFERROR(VLOOKUP($A92,InvDump[#All],MATCH(M$3,InvDump[#Headers],0),FALSE),"-")</f>
        <v>-</v>
      </c>
      <c r="N92" s="64" t="str">
        <f>IFERROR(VLOOKUP($A92,InvDump[#All],MATCH(N$3,InvDump[#Headers],0),FALSE),"-")</f>
        <v>-</v>
      </c>
      <c r="O92" s="64" t="str">
        <f>IFERROR(VLOOKUP($A92,InvDump[#All],MATCH(O$3,InvDump[#Headers],0),FALSE),"-")</f>
        <v>-</v>
      </c>
      <c r="P92" s="65" t="str">
        <f>IFERROR(VLOOKUP($A92,InvDump[#All],MATCH(P$3,InvDump[#Headers],0),FALSE),"")</f>
        <v/>
      </c>
      <c r="Q92" s="65" t="str">
        <f>IFERROR(VLOOKUP($A92,InvDump[#All],MATCH(Q$3,InvDump[#Headers],0),FALSE),"")</f>
        <v/>
      </c>
      <c r="R92" s="65" t="str">
        <f>IFERROR(IF(VLOOKUP($A92,InvDump[#All],MATCH(R$3,InvDump[#Headers],0),FALSE)=0,"",VLOOKUP($A92,InvDump[#All],MATCH(R$3,InvDump[#Headers],0),FALSE)),"")</f>
        <v/>
      </c>
      <c r="S92" s="64" t="str">
        <f>IFERROR(IF(InvDump[[#This Row],[Annexure]]="Yes",VLOOKUP($A92,InvDump[#All],21,FALSE)&amp;"; "&amp;VLOOKUP($A92,InvDump[#All],23,FALSE),VLOOKUP($A92,InvDump[#All],21,FALSE)),"")</f>
        <v/>
      </c>
    </row>
    <row r="93" spans="1:19" x14ac:dyDescent="0.3">
      <c r="A93" s="68"/>
      <c r="B93" s="61" t="str">
        <f>IFERROR(VLOOKUP($A93,InvDump[#All],MATCH(B$3,InvDump[#Headers],0),FALSE),"-")</f>
        <v>-</v>
      </c>
      <c r="C93" s="62" t="str">
        <f>IFERROR(VLOOKUP($A93,InvDump[#All],MATCH(C$3,InvDump[#Headers],0),FALSE),"-")</f>
        <v>-</v>
      </c>
      <c r="D93" s="61" t="str">
        <f>IFERROR(VLOOKUP($A93,InvDump[#All],MATCH(D$3,InvDump[#Headers],0),FALSE),"-")</f>
        <v>-</v>
      </c>
      <c r="E93" s="61" t="str">
        <f>IFERROR(VLOOKUP($A93,InvDump[#All],MATCH(E$3,InvDump[#Headers],0),FALSE),"-")</f>
        <v>-</v>
      </c>
      <c r="F93" s="61" t="str">
        <f>IFERROR(VLOOKUP($A93,InvDump[#All],MATCH(F$3,InvDump[#Headers],0),FALSE),"-")</f>
        <v>-</v>
      </c>
      <c r="G93" s="61" t="str">
        <f>IFERROR(VLOOKUP($A93,InvDump[#All],MATCH(G$3,InvDump[#Headers],0),FALSE),"-")</f>
        <v>-</v>
      </c>
      <c r="H93" s="63" t="str">
        <f>IFERROR(VLOOKUP(G93,CustomerData!$B$4:$D$13,3),"-")</f>
        <v>-</v>
      </c>
      <c r="I93" s="61" t="str">
        <f>IFERROR(VLOOKUP($A93,InvDump[#All],MATCH(I$3,InvDump[#Headers],0),FALSE),"-")</f>
        <v>-</v>
      </c>
      <c r="J93" s="61" t="str">
        <f>IFERROR(VLOOKUP($A93,InvDump[#All],MATCH(J$3,InvDump[#Headers],0),FALSE),"-")</f>
        <v>-</v>
      </c>
      <c r="K93" s="61" t="str">
        <f>IFERROR(VLOOKUP($A93,InvDump[#All],MATCH(K$3,InvDump[#Headers],0),FALSE),"-")</f>
        <v>-</v>
      </c>
      <c r="L93" s="64" t="str">
        <f>IFERROR(VLOOKUP($A93,InvDump[#All],MATCH(L$3,InvDump[#Headers],0),FALSE),"-")</f>
        <v>-</v>
      </c>
      <c r="M93" s="64" t="str">
        <f>IFERROR(VLOOKUP($A93,InvDump[#All],MATCH(M$3,InvDump[#Headers],0),FALSE),"-")</f>
        <v>-</v>
      </c>
      <c r="N93" s="64" t="str">
        <f>IFERROR(VLOOKUP($A93,InvDump[#All],MATCH(N$3,InvDump[#Headers],0),FALSE),"-")</f>
        <v>-</v>
      </c>
      <c r="O93" s="64" t="str">
        <f>IFERROR(VLOOKUP($A93,InvDump[#All],MATCH(O$3,InvDump[#Headers],0),FALSE),"-")</f>
        <v>-</v>
      </c>
      <c r="P93" s="65" t="str">
        <f>IFERROR(VLOOKUP($A93,InvDump[#All],MATCH(P$3,InvDump[#Headers],0),FALSE),"")</f>
        <v/>
      </c>
      <c r="Q93" s="65" t="str">
        <f>IFERROR(VLOOKUP($A93,InvDump[#All],MATCH(Q$3,InvDump[#Headers],0),FALSE),"")</f>
        <v/>
      </c>
      <c r="R93" s="65" t="str">
        <f>IFERROR(IF(VLOOKUP($A93,InvDump[#All],MATCH(R$3,InvDump[#Headers],0),FALSE)=0,"",VLOOKUP($A93,InvDump[#All],MATCH(R$3,InvDump[#Headers],0),FALSE)),"")</f>
        <v/>
      </c>
      <c r="S93" s="64" t="str">
        <f>IFERROR(IF(InvDump[[#This Row],[Annexure]]="Yes",VLOOKUP($A93,InvDump[#All],21,FALSE)&amp;"; "&amp;VLOOKUP($A93,InvDump[#All],23,FALSE),VLOOKUP($A93,InvDump[#All],21,FALSE)),"")</f>
        <v/>
      </c>
    </row>
    <row r="94" spans="1:19" x14ac:dyDescent="0.3">
      <c r="A94" s="68"/>
      <c r="B94" s="61" t="str">
        <f>IFERROR(VLOOKUP($A94,InvDump[#All],MATCH(B$3,InvDump[#Headers],0),FALSE),"-")</f>
        <v>-</v>
      </c>
      <c r="C94" s="62" t="str">
        <f>IFERROR(VLOOKUP($A94,InvDump[#All],MATCH(C$3,InvDump[#Headers],0),FALSE),"-")</f>
        <v>-</v>
      </c>
      <c r="D94" s="61" t="str">
        <f>IFERROR(VLOOKUP($A94,InvDump[#All],MATCH(D$3,InvDump[#Headers],0),FALSE),"-")</f>
        <v>-</v>
      </c>
      <c r="E94" s="61" t="str">
        <f>IFERROR(VLOOKUP($A94,InvDump[#All],MATCH(E$3,InvDump[#Headers],0),FALSE),"-")</f>
        <v>-</v>
      </c>
      <c r="F94" s="61" t="str">
        <f>IFERROR(VLOOKUP($A94,InvDump[#All],MATCH(F$3,InvDump[#Headers],0),FALSE),"-")</f>
        <v>-</v>
      </c>
      <c r="G94" s="61" t="str">
        <f>IFERROR(VLOOKUP($A94,InvDump[#All],MATCH(G$3,InvDump[#Headers],0),FALSE),"-")</f>
        <v>-</v>
      </c>
      <c r="H94" s="63" t="str">
        <f>IFERROR(VLOOKUP(G94,CustomerData!$B$4:$D$13,3),"-")</f>
        <v>-</v>
      </c>
      <c r="I94" s="61" t="str">
        <f>IFERROR(VLOOKUP($A94,InvDump[#All],MATCH(I$3,InvDump[#Headers],0),FALSE),"-")</f>
        <v>-</v>
      </c>
      <c r="J94" s="61" t="str">
        <f>IFERROR(VLOOKUP($A94,InvDump[#All],MATCH(J$3,InvDump[#Headers],0),FALSE),"-")</f>
        <v>-</v>
      </c>
      <c r="K94" s="61" t="str">
        <f>IFERROR(VLOOKUP($A94,InvDump[#All],MATCH(K$3,InvDump[#Headers],0),FALSE),"-")</f>
        <v>-</v>
      </c>
      <c r="L94" s="64" t="str">
        <f>IFERROR(VLOOKUP($A94,InvDump[#All],MATCH(L$3,InvDump[#Headers],0),FALSE),"-")</f>
        <v>-</v>
      </c>
      <c r="M94" s="64" t="str">
        <f>IFERROR(VLOOKUP($A94,InvDump[#All],MATCH(M$3,InvDump[#Headers],0),FALSE),"-")</f>
        <v>-</v>
      </c>
      <c r="N94" s="64" t="str">
        <f>IFERROR(VLOOKUP($A94,InvDump[#All],MATCH(N$3,InvDump[#Headers],0),FALSE),"-")</f>
        <v>-</v>
      </c>
      <c r="O94" s="64" t="str">
        <f>IFERROR(VLOOKUP($A94,InvDump[#All],MATCH(O$3,InvDump[#Headers],0),FALSE),"-")</f>
        <v>-</v>
      </c>
      <c r="P94" s="65" t="str">
        <f>IFERROR(VLOOKUP($A94,InvDump[#All],MATCH(P$3,InvDump[#Headers],0),FALSE),"")</f>
        <v/>
      </c>
      <c r="Q94" s="65" t="str">
        <f>IFERROR(VLOOKUP($A94,InvDump[#All],MATCH(Q$3,InvDump[#Headers],0),FALSE),"")</f>
        <v/>
      </c>
      <c r="R94" s="65" t="str">
        <f>IFERROR(IF(VLOOKUP($A94,InvDump[#All],MATCH(R$3,InvDump[#Headers],0),FALSE)=0,"",VLOOKUP($A94,InvDump[#All],MATCH(R$3,InvDump[#Headers],0),FALSE)),"")</f>
        <v/>
      </c>
      <c r="S94" s="64" t="str">
        <f>IFERROR(IF(InvDump[[#This Row],[Annexure]]="Yes",VLOOKUP($A94,InvDump[#All],21,FALSE)&amp;"; "&amp;VLOOKUP($A94,InvDump[#All],23,FALSE),VLOOKUP($A94,InvDump[#All],21,FALSE)),"")</f>
        <v/>
      </c>
    </row>
    <row r="95" spans="1:19" x14ac:dyDescent="0.3">
      <c r="A95" s="68"/>
      <c r="B95" s="61" t="str">
        <f>IFERROR(VLOOKUP($A95,InvDump[#All],MATCH(B$3,InvDump[#Headers],0),FALSE),"-")</f>
        <v>-</v>
      </c>
      <c r="C95" s="62" t="str">
        <f>IFERROR(VLOOKUP($A95,InvDump[#All],MATCH(C$3,InvDump[#Headers],0),FALSE),"-")</f>
        <v>-</v>
      </c>
      <c r="D95" s="61" t="str">
        <f>IFERROR(VLOOKUP($A95,InvDump[#All],MATCH(D$3,InvDump[#Headers],0),FALSE),"-")</f>
        <v>-</v>
      </c>
      <c r="E95" s="61" t="str">
        <f>IFERROR(VLOOKUP($A95,InvDump[#All],MATCH(E$3,InvDump[#Headers],0),FALSE),"-")</f>
        <v>-</v>
      </c>
      <c r="F95" s="61" t="str">
        <f>IFERROR(VLOOKUP($A95,InvDump[#All],MATCH(F$3,InvDump[#Headers],0),FALSE),"-")</f>
        <v>-</v>
      </c>
      <c r="G95" s="61" t="str">
        <f>IFERROR(VLOOKUP($A95,InvDump[#All],MATCH(G$3,InvDump[#Headers],0),FALSE),"-")</f>
        <v>-</v>
      </c>
      <c r="H95" s="63" t="str">
        <f>IFERROR(VLOOKUP(G95,CustomerData!$B$4:$D$13,3),"-")</f>
        <v>-</v>
      </c>
      <c r="I95" s="61" t="str">
        <f>IFERROR(VLOOKUP($A95,InvDump[#All],MATCH(I$3,InvDump[#Headers],0),FALSE),"-")</f>
        <v>-</v>
      </c>
      <c r="J95" s="61" t="str">
        <f>IFERROR(VLOOKUP($A95,InvDump[#All],MATCH(J$3,InvDump[#Headers],0),FALSE),"-")</f>
        <v>-</v>
      </c>
      <c r="K95" s="61" t="str">
        <f>IFERROR(VLOOKUP($A95,InvDump[#All],MATCH(K$3,InvDump[#Headers],0),FALSE),"-")</f>
        <v>-</v>
      </c>
      <c r="L95" s="64" t="str">
        <f>IFERROR(VLOOKUP($A95,InvDump[#All],MATCH(L$3,InvDump[#Headers],0),FALSE),"-")</f>
        <v>-</v>
      </c>
      <c r="M95" s="64" t="str">
        <f>IFERROR(VLOOKUP($A95,InvDump[#All],MATCH(M$3,InvDump[#Headers],0),FALSE),"-")</f>
        <v>-</v>
      </c>
      <c r="N95" s="64" t="str">
        <f>IFERROR(VLOOKUP($A95,InvDump[#All],MATCH(N$3,InvDump[#Headers],0),FALSE),"-")</f>
        <v>-</v>
      </c>
      <c r="O95" s="64" t="str">
        <f>IFERROR(VLOOKUP($A95,InvDump[#All],MATCH(O$3,InvDump[#Headers],0),FALSE),"-")</f>
        <v>-</v>
      </c>
      <c r="P95" s="65" t="str">
        <f>IFERROR(VLOOKUP($A95,InvDump[#All],MATCH(P$3,InvDump[#Headers],0),FALSE),"")</f>
        <v/>
      </c>
      <c r="Q95" s="65" t="str">
        <f>IFERROR(VLOOKUP($A95,InvDump[#All],MATCH(Q$3,InvDump[#Headers],0),FALSE),"")</f>
        <v/>
      </c>
      <c r="R95" s="65" t="str">
        <f>IFERROR(IF(VLOOKUP($A95,InvDump[#All],MATCH(R$3,InvDump[#Headers],0),FALSE)=0,"",VLOOKUP($A95,InvDump[#All],MATCH(R$3,InvDump[#Headers],0),FALSE)),"")</f>
        <v/>
      </c>
      <c r="S95" s="64" t="str">
        <f>IFERROR(IF(InvDump[[#This Row],[Annexure]]="Yes",VLOOKUP($A95,InvDump[#All],21,FALSE)&amp;"; "&amp;VLOOKUP($A95,InvDump[#All],23,FALSE),VLOOKUP($A95,InvDump[#All],21,FALSE)),"")</f>
        <v/>
      </c>
    </row>
    <row r="96" spans="1:19" x14ac:dyDescent="0.3">
      <c r="A96" s="68"/>
      <c r="B96" s="61" t="str">
        <f>IFERROR(VLOOKUP($A96,InvDump[#All],MATCH(B$3,InvDump[#Headers],0),FALSE),"-")</f>
        <v>-</v>
      </c>
      <c r="C96" s="62" t="str">
        <f>IFERROR(VLOOKUP($A96,InvDump[#All],MATCH(C$3,InvDump[#Headers],0),FALSE),"-")</f>
        <v>-</v>
      </c>
      <c r="D96" s="61" t="str">
        <f>IFERROR(VLOOKUP($A96,InvDump[#All],MATCH(D$3,InvDump[#Headers],0),FALSE),"-")</f>
        <v>-</v>
      </c>
      <c r="E96" s="61" t="str">
        <f>IFERROR(VLOOKUP($A96,InvDump[#All],MATCH(E$3,InvDump[#Headers],0),FALSE),"-")</f>
        <v>-</v>
      </c>
      <c r="F96" s="61" t="str">
        <f>IFERROR(VLOOKUP($A96,InvDump[#All],MATCH(F$3,InvDump[#Headers],0),FALSE),"-")</f>
        <v>-</v>
      </c>
      <c r="G96" s="61" t="str">
        <f>IFERROR(VLOOKUP($A96,InvDump[#All],MATCH(G$3,InvDump[#Headers],0),FALSE),"-")</f>
        <v>-</v>
      </c>
      <c r="H96" s="63" t="str">
        <f>IFERROR(VLOOKUP(G96,CustomerData!$B$4:$D$13,3),"-")</f>
        <v>-</v>
      </c>
      <c r="I96" s="61" t="str">
        <f>IFERROR(VLOOKUP($A96,InvDump[#All],MATCH(I$3,InvDump[#Headers],0),FALSE),"-")</f>
        <v>-</v>
      </c>
      <c r="J96" s="61" t="str">
        <f>IFERROR(VLOOKUP($A96,InvDump[#All],MATCH(J$3,InvDump[#Headers],0),FALSE),"-")</f>
        <v>-</v>
      </c>
      <c r="K96" s="61" t="str">
        <f>IFERROR(VLOOKUP($A96,InvDump[#All],MATCH(K$3,InvDump[#Headers],0),FALSE),"-")</f>
        <v>-</v>
      </c>
      <c r="L96" s="64" t="str">
        <f>IFERROR(VLOOKUP($A96,InvDump[#All],MATCH(L$3,InvDump[#Headers],0),FALSE),"-")</f>
        <v>-</v>
      </c>
      <c r="M96" s="64" t="str">
        <f>IFERROR(VLOOKUP($A96,InvDump[#All],MATCH(M$3,InvDump[#Headers],0),FALSE),"-")</f>
        <v>-</v>
      </c>
      <c r="N96" s="64" t="str">
        <f>IFERROR(VLOOKUP($A96,InvDump[#All],MATCH(N$3,InvDump[#Headers],0),FALSE),"-")</f>
        <v>-</v>
      </c>
      <c r="O96" s="64" t="str">
        <f>IFERROR(VLOOKUP($A96,InvDump[#All],MATCH(O$3,InvDump[#Headers],0),FALSE),"-")</f>
        <v>-</v>
      </c>
      <c r="P96" s="65" t="str">
        <f>IFERROR(VLOOKUP($A96,InvDump[#All],MATCH(P$3,InvDump[#Headers],0),FALSE),"")</f>
        <v/>
      </c>
      <c r="Q96" s="65" t="str">
        <f>IFERROR(VLOOKUP($A96,InvDump[#All],MATCH(Q$3,InvDump[#Headers],0),FALSE),"")</f>
        <v/>
      </c>
      <c r="R96" s="65" t="str">
        <f>IFERROR(IF(VLOOKUP($A96,InvDump[#All],MATCH(R$3,InvDump[#Headers],0),FALSE)=0,"",VLOOKUP($A96,InvDump[#All],MATCH(R$3,InvDump[#Headers],0),FALSE)),"")</f>
        <v/>
      </c>
      <c r="S96" s="64" t="str">
        <f>IFERROR(IF(InvDump[[#This Row],[Annexure]]="Yes",VLOOKUP($A96,InvDump[#All],21,FALSE)&amp;"; "&amp;VLOOKUP($A96,InvDump[#All],23,FALSE),VLOOKUP($A96,InvDump[#All],21,FALSE)),"")</f>
        <v/>
      </c>
    </row>
    <row r="97" spans="1:19" x14ac:dyDescent="0.3">
      <c r="A97" s="68"/>
      <c r="B97" s="61" t="str">
        <f>IFERROR(VLOOKUP($A97,InvDump[#All],MATCH(B$3,InvDump[#Headers],0),FALSE),"-")</f>
        <v>-</v>
      </c>
      <c r="C97" s="62" t="str">
        <f>IFERROR(VLOOKUP($A97,InvDump[#All],MATCH(C$3,InvDump[#Headers],0),FALSE),"-")</f>
        <v>-</v>
      </c>
      <c r="D97" s="61" t="str">
        <f>IFERROR(VLOOKUP($A97,InvDump[#All],MATCH(D$3,InvDump[#Headers],0),FALSE),"-")</f>
        <v>-</v>
      </c>
      <c r="E97" s="61" t="str">
        <f>IFERROR(VLOOKUP($A97,InvDump[#All],MATCH(E$3,InvDump[#Headers],0),FALSE),"-")</f>
        <v>-</v>
      </c>
      <c r="F97" s="61" t="str">
        <f>IFERROR(VLOOKUP($A97,InvDump[#All],MATCH(F$3,InvDump[#Headers],0),FALSE),"-")</f>
        <v>-</v>
      </c>
      <c r="G97" s="61" t="str">
        <f>IFERROR(VLOOKUP($A97,InvDump[#All],MATCH(G$3,InvDump[#Headers],0),FALSE),"-")</f>
        <v>-</v>
      </c>
      <c r="H97" s="63" t="str">
        <f>IFERROR(VLOOKUP(G97,CustomerData!$B$4:$D$13,3),"-")</f>
        <v>-</v>
      </c>
      <c r="I97" s="61" t="str">
        <f>IFERROR(VLOOKUP($A97,InvDump[#All],MATCH(I$3,InvDump[#Headers],0),FALSE),"-")</f>
        <v>-</v>
      </c>
      <c r="J97" s="61" t="str">
        <f>IFERROR(VLOOKUP($A97,InvDump[#All],MATCH(J$3,InvDump[#Headers],0),FALSE),"-")</f>
        <v>-</v>
      </c>
      <c r="K97" s="61" t="str">
        <f>IFERROR(VLOOKUP($A97,InvDump[#All],MATCH(K$3,InvDump[#Headers],0),FALSE),"-")</f>
        <v>-</v>
      </c>
      <c r="L97" s="64" t="str">
        <f>IFERROR(VLOOKUP($A97,InvDump[#All],MATCH(L$3,InvDump[#Headers],0),FALSE),"-")</f>
        <v>-</v>
      </c>
      <c r="M97" s="64" t="str">
        <f>IFERROR(VLOOKUP($A97,InvDump[#All],MATCH(M$3,InvDump[#Headers],0),FALSE),"-")</f>
        <v>-</v>
      </c>
      <c r="N97" s="64" t="str">
        <f>IFERROR(VLOOKUP($A97,InvDump[#All],MATCH(N$3,InvDump[#Headers],0),FALSE),"-")</f>
        <v>-</v>
      </c>
      <c r="O97" s="64" t="str">
        <f>IFERROR(VLOOKUP($A97,InvDump[#All],MATCH(O$3,InvDump[#Headers],0),FALSE),"-")</f>
        <v>-</v>
      </c>
      <c r="P97" s="65" t="str">
        <f>IFERROR(VLOOKUP($A97,InvDump[#All],MATCH(P$3,InvDump[#Headers],0),FALSE),"")</f>
        <v/>
      </c>
      <c r="Q97" s="65" t="str">
        <f>IFERROR(VLOOKUP($A97,InvDump[#All],MATCH(Q$3,InvDump[#Headers],0),FALSE),"")</f>
        <v/>
      </c>
      <c r="R97" s="65" t="str">
        <f>IFERROR(IF(VLOOKUP($A97,InvDump[#All],MATCH(R$3,InvDump[#Headers],0),FALSE)=0,"",VLOOKUP($A97,InvDump[#All],MATCH(R$3,InvDump[#Headers],0),FALSE)),"")</f>
        <v/>
      </c>
      <c r="S97" s="64" t="str">
        <f>IFERROR(IF(InvDump[[#This Row],[Annexure]]="Yes",VLOOKUP($A97,InvDump[#All],21,FALSE)&amp;"; "&amp;VLOOKUP($A97,InvDump[#All],23,FALSE),VLOOKUP($A97,InvDump[#All],21,FALSE)),"")</f>
        <v/>
      </c>
    </row>
    <row r="98" spans="1:19" x14ac:dyDescent="0.3">
      <c r="A98" s="68"/>
      <c r="B98" s="61" t="str">
        <f>IFERROR(VLOOKUP($A98,InvDump[#All],MATCH(B$3,InvDump[#Headers],0),FALSE),"-")</f>
        <v>-</v>
      </c>
      <c r="C98" s="62" t="str">
        <f>IFERROR(VLOOKUP($A98,InvDump[#All],MATCH(C$3,InvDump[#Headers],0),FALSE),"-")</f>
        <v>-</v>
      </c>
      <c r="D98" s="61" t="str">
        <f>IFERROR(VLOOKUP($A98,InvDump[#All],MATCH(D$3,InvDump[#Headers],0),FALSE),"-")</f>
        <v>-</v>
      </c>
      <c r="E98" s="61" t="str">
        <f>IFERROR(VLOOKUP($A98,InvDump[#All],MATCH(E$3,InvDump[#Headers],0),FALSE),"-")</f>
        <v>-</v>
      </c>
      <c r="F98" s="61" t="str">
        <f>IFERROR(VLOOKUP($A98,InvDump[#All],MATCH(F$3,InvDump[#Headers],0),FALSE),"-")</f>
        <v>-</v>
      </c>
      <c r="G98" s="61" t="str">
        <f>IFERROR(VLOOKUP($A98,InvDump[#All],MATCH(G$3,InvDump[#Headers],0),FALSE),"-")</f>
        <v>-</v>
      </c>
      <c r="H98" s="63" t="str">
        <f>IFERROR(VLOOKUP(G98,CustomerData!$B$4:$D$13,3),"-")</f>
        <v>-</v>
      </c>
      <c r="I98" s="61" t="str">
        <f>IFERROR(VLOOKUP($A98,InvDump[#All],MATCH(I$3,InvDump[#Headers],0),FALSE),"-")</f>
        <v>-</v>
      </c>
      <c r="J98" s="61" t="str">
        <f>IFERROR(VLOOKUP($A98,InvDump[#All],MATCH(J$3,InvDump[#Headers],0),FALSE),"-")</f>
        <v>-</v>
      </c>
      <c r="K98" s="61" t="str">
        <f>IFERROR(VLOOKUP($A98,InvDump[#All],MATCH(K$3,InvDump[#Headers],0),FALSE),"-")</f>
        <v>-</v>
      </c>
      <c r="L98" s="64" t="str">
        <f>IFERROR(VLOOKUP($A98,InvDump[#All],MATCH(L$3,InvDump[#Headers],0),FALSE),"-")</f>
        <v>-</v>
      </c>
      <c r="M98" s="64" t="str">
        <f>IFERROR(VLOOKUP($A98,InvDump[#All],MATCH(M$3,InvDump[#Headers],0),FALSE),"-")</f>
        <v>-</v>
      </c>
      <c r="N98" s="64" t="str">
        <f>IFERROR(VLOOKUP($A98,InvDump[#All],MATCH(N$3,InvDump[#Headers],0),FALSE),"-")</f>
        <v>-</v>
      </c>
      <c r="O98" s="64" t="str">
        <f>IFERROR(VLOOKUP($A98,InvDump[#All],MATCH(O$3,InvDump[#Headers],0),FALSE),"-")</f>
        <v>-</v>
      </c>
      <c r="P98" s="65" t="str">
        <f>IFERROR(VLOOKUP($A98,InvDump[#All],MATCH(P$3,InvDump[#Headers],0),FALSE),"")</f>
        <v/>
      </c>
      <c r="Q98" s="65" t="str">
        <f>IFERROR(VLOOKUP($A98,InvDump[#All],MATCH(Q$3,InvDump[#Headers],0),FALSE),"")</f>
        <v/>
      </c>
      <c r="R98" s="65" t="str">
        <f>IFERROR(IF(VLOOKUP($A98,InvDump[#All],MATCH(R$3,InvDump[#Headers],0),FALSE)=0,"",VLOOKUP($A98,InvDump[#All],MATCH(R$3,InvDump[#Headers],0),FALSE)),"")</f>
        <v/>
      </c>
      <c r="S98" s="64" t="str">
        <f>IFERROR(IF(InvDump[[#This Row],[Annexure]]="Yes",VLOOKUP($A98,InvDump[#All],21,FALSE)&amp;"; "&amp;VLOOKUP($A98,InvDump[#All],23,FALSE),VLOOKUP($A98,InvDump[#All],21,FALSE)),"")</f>
        <v/>
      </c>
    </row>
    <row r="99" spans="1:19" x14ac:dyDescent="0.3">
      <c r="A99" s="68"/>
      <c r="B99" s="61" t="str">
        <f>IFERROR(VLOOKUP($A99,InvDump[#All],MATCH(B$3,InvDump[#Headers],0),FALSE),"-")</f>
        <v>-</v>
      </c>
      <c r="C99" s="62" t="str">
        <f>IFERROR(VLOOKUP($A99,InvDump[#All],MATCH(C$3,InvDump[#Headers],0),FALSE),"-")</f>
        <v>-</v>
      </c>
      <c r="D99" s="61" t="str">
        <f>IFERROR(VLOOKUP($A99,InvDump[#All],MATCH(D$3,InvDump[#Headers],0),FALSE),"-")</f>
        <v>-</v>
      </c>
      <c r="E99" s="61" t="str">
        <f>IFERROR(VLOOKUP($A99,InvDump[#All],MATCH(E$3,InvDump[#Headers],0),FALSE),"-")</f>
        <v>-</v>
      </c>
      <c r="F99" s="61" t="str">
        <f>IFERROR(VLOOKUP($A99,InvDump[#All],MATCH(F$3,InvDump[#Headers],0),FALSE),"-")</f>
        <v>-</v>
      </c>
      <c r="G99" s="61" t="str">
        <f>IFERROR(VLOOKUP($A99,InvDump[#All],MATCH(G$3,InvDump[#Headers],0),FALSE),"-")</f>
        <v>-</v>
      </c>
      <c r="H99" s="63" t="str">
        <f>IFERROR(VLOOKUP(G99,CustomerData!$B$4:$D$13,3),"-")</f>
        <v>-</v>
      </c>
      <c r="I99" s="61" t="str">
        <f>IFERROR(VLOOKUP($A99,InvDump[#All],MATCH(I$3,InvDump[#Headers],0),FALSE),"-")</f>
        <v>-</v>
      </c>
      <c r="J99" s="61" t="str">
        <f>IFERROR(VLOOKUP($A99,InvDump[#All],MATCH(J$3,InvDump[#Headers],0),FALSE),"-")</f>
        <v>-</v>
      </c>
      <c r="K99" s="61" t="str">
        <f>IFERROR(VLOOKUP($A99,InvDump[#All],MATCH(K$3,InvDump[#Headers],0),FALSE),"-")</f>
        <v>-</v>
      </c>
      <c r="L99" s="64" t="str">
        <f>IFERROR(VLOOKUP($A99,InvDump[#All],MATCH(L$3,InvDump[#Headers],0),FALSE),"-")</f>
        <v>-</v>
      </c>
      <c r="M99" s="64" t="str">
        <f>IFERROR(VLOOKUP($A99,InvDump[#All],MATCH(M$3,InvDump[#Headers],0),FALSE),"-")</f>
        <v>-</v>
      </c>
      <c r="N99" s="64" t="str">
        <f>IFERROR(VLOOKUP($A99,InvDump[#All],MATCH(N$3,InvDump[#Headers],0),FALSE),"-")</f>
        <v>-</v>
      </c>
      <c r="O99" s="64" t="str">
        <f>IFERROR(VLOOKUP($A99,InvDump[#All],MATCH(O$3,InvDump[#Headers],0),FALSE),"-")</f>
        <v>-</v>
      </c>
      <c r="P99" s="65" t="str">
        <f>IFERROR(VLOOKUP($A99,InvDump[#All],MATCH(P$3,InvDump[#Headers],0),FALSE),"")</f>
        <v/>
      </c>
      <c r="Q99" s="65" t="str">
        <f>IFERROR(VLOOKUP($A99,InvDump[#All],MATCH(Q$3,InvDump[#Headers],0),FALSE),"")</f>
        <v/>
      </c>
      <c r="R99" s="65" t="str">
        <f>IFERROR(IF(VLOOKUP($A99,InvDump[#All],MATCH(R$3,InvDump[#Headers],0),FALSE)=0,"",VLOOKUP($A99,InvDump[#All],MATCH(R$3,InvDump[#Headers],0),FALSE)),"")</f>
        <v/>
      </c>
      <c r="S99" s="64" t="str">
        <f>IFERROR(IF(InvDump[[#This Row],[Annexure]]="Yes",VLOOKUP($A99,InvDump[#All],21,FALSE)&amp;"; "&amp;VLOOKUP($A99,InvDump[#All],23,FALSE),VLOOKUP($A99,InvDump[#All],21,FALSE)),"")</f>
        <v/>
      </c>
    </row>
    <row r="100" spans="1:19" x14ac:dyDescent="0.3">
      <c r="A100" s="68"/>
      <c r="B100" s="61" t="str">
        <f>IFERROR(VLOOKUP($A100,InvDump[#All],MATCH(B$3,InvDump[#Headers],0),FALSE),"-")</f>
        <v>-</v>
      </c>
      <c r="C100" s="62" t="str">
        <f>IFERROR(VLOOKUP($A100,InvDump[#All],MATCH(C$3,InvDump[#Headers],0),FALSE),"-")</f>
        <v>-</v>
      </c>
      <c r="D100" s="61" t="str">
        <f>IFERROR(VLOOKUP($A100,InvDump[#All],MATCH(D$3,InvDump[#Headers],0),FALSE),"-")</f>
        <v>-</v>
      </c>
      <c r="E100" s="61" t="str">
        <f>IFERROR(VLOOKUP($A100,InvDump[#All],MATCH(E$3,InvDump[#Headers],0),FALSE),"-")</f>
        <v>-</v>
      </c>
      <c r="F100" s="61" t="str">
        <f>IFERROR(VLOOKUP($A100,InvDump[#All],MATCH(F$3,InvDump[#Headers],0),FALSE),"-")</f>
        <v>-</v>
      </c>
      <c r="G100" s="61" t="str">
        <f>IFERROR(VLOOKUP($A100,InvDump[#All],MATCH(G$3,InvDump[#Headers],0),FALSE),"-")</f>
        <v>-</v>
      </c>
      <c r="H100" s="63" t="str">
        <f>IFERROR(VLOOKUP(G100,CustomerData!$B$4:$D$13,3),"-")</f>
        <v>-</v>
      </c>
      <c r="I100" s="61" t="str">
        <f>IFERROR(VLOOKUP($A100,InvDump[#All],MATCH(I$3,InvDump[#Headers],0),FALSE),"-")</f>
        <v>-</v>
      </c>
      <c r="J100" s="61" t="str">
        <f>IFERROR(VLOOKUP($A100,InvDump[#All],MATCH(J$3,InvDump[#Headers],0),FALSE),"-")</f>
        <v>-</v>
      </c>
      <c r="K100" s="61" t="str">
        <f>IFERROR(VLOOKUP($A100,InvDump[#All],MATCH(K$3,InvDump[#Headers],0),FALSE),"-")</f>
        <v>-</v>
      </c>
      <c r="L100" s="64" t="str">
        <f>IFERROR(VLOOKUP($A100,InvDump[#All],MATCH(L$3,InvDump[#Headers],0),FALSE),"-")</f>
        <v>-</v>
      </c>
      <c r="M100" s="64" t="str">
        <f>IFERROR(VLOOKUP($A100,InvDump[#All],MATCH(M$3,InvDump[#Headers],0),FALSE),"-")</f>
        <v>-</v>
      </c>
      <c r="N100" s="64" t="str">
        <f>IFERROR(VLOOKUP($A100,InvDump[#All],MATCH(N$3,InvDump[#Headers],0),FALSE),"-")</f>
        <v>-</v>
      </c>
      <c r="O100" s="64" t="str">
        <f>IFERROR(VLOOKUP($A100,InvDump[#All],MATCH(O$3,InvDump[#Headers],0),FALSE),"-")</f>
        <v>-</v>
      </c>
      <c r="P100" s="65" t="str">
        <f>IFERROR(VLOOKUP($A100,InvDump[#All],MATCH(P$3,InvDump[#Headers],0),FALSE),"")</f>
        <v/>
      </c>
      <c r="Q100" s="65" t="str">
        <f>IFERROR(VLOOKUP($A100,InvDump[#All],MATCH(Q$3,InvDump[#Headers],0),FALSE),"")</f>
        <v/>
      </c>
      <c r="R100" s="65" t="str">
        <f>IFERROR(IF(VLOOKUP($A100,InvDump[#All],MATCH(R$3,InvDump[#Headers],0),FALSE)=0,"",VLOOKUP($A100,InvDump[#All],MATCH(R$3,InvDump[#Headers],0),FALSE)),"")</f>
        <v/>
      </c>
      <c r="S100" s="64" t="str">
        <f>IFERROR(IF(InvDump[[#This Row],[Annexure]]="Yes",VLOOKUP($A100,InvDump[#All],21,FALSE)&amp;"; "&amp;VLOOKUP($A100,InvDump[#All],23,FALSE),VLOOKUP($A100,InvDump[#All],21,FALSE)),"")</f>
        <v/>
      </c>
    </row>
    <row r="101" spans="1:19" x14ac:dyDescent="0.3">
      <c r="A101" s="68"/>
      <c r="B101" s="61" t="str">
        <f>IFERROR(VLOOKUP($A101,InvDump[#All],MATCH(B$3,InvDump[#Headers],0),FALSE),"-")</f>
        <v>-</v>
      </c>
      <c r="C101" s="62" t="str">
        <f>IFERROR(VLOOKUP($A101,InvDump[#All],MATCH(C$3,InvDump[#Headers],0),FALSE),"-")</f>
        <v>-</v>
      </c>
      <c r="D101" s="61" t="str">
        <f>IFERROR(VLOOKUP($A101,InvDump[#All],MATCH(D$3,InvDump[#Headers],0),FALSE),"-")</f>
        <v>-</v>
      </c>
      <c r="E101" s="61" t="str">
        <f>IFERROR(VLOOKUP($A101,InvDump[#All],MATCH(E$3,InvDump[#Headers],0),FALSE),"-")</f>
        <v>-</v>
      </c>
      <c r="F101" s="61" t="str">
        <f>IFERROR(VLOOKUP($A101,InvDump[#All],MATCH(F$3,InvDump[#Headers],0),FALSE),"-")</f>
        <v>-</v>
      </c>
      <c r="G101" s="61" t="str">
        <f>IFERROR(VLOOKUP($A101,InvDump[#All],MATCH(G$3,InvDump[#Headers],0),FALSE),"-")</f>
        <v>-</v>
      </c>
      <c r="H101" s="63" t="str">
        <f>IFERROR(VLOOKUP(G101,CustomerData!$B$4:$D$13,3),"-")</f>
        <v>-</v>
      </c>
      <c r="I101" s="61" t="str">
        <f>IFERROR(VLOOKUP($A101,InvDump[#All],MATCH(I$3,InvDump[#Headers],0),FALSE),"-")</f>
        <v>-</v>
      </c>
      <c r="J101" s="61" t="str">
        <f>IFERROR(VLOOKUP($A101,InvDump[#All],MATCH(J$3,InvDump[#Headers],0),FALSE),"-")</f>
        <v>-</v>
      </c>
      <c r="K101" s="61" t="str">
        <f>IFERROR(VLOOKUP($A101,InvDump[#All],MATCH(K$3,InvDump[#Headers],0),FALSE),"-")</f>
        <v>-</v>
      </c>
      <c r="L101" s="64" t="str">
        <f>IFERROR(VLOOKUP($A101,InvDump[#All],MATCH(L$3,InvDump[#Headers],0),FALSE),"-")</f>
        <v>-</v>
      </c>
      <c r="M101" s="64" t="str">
        <f>IFERROR(VLOOKUP($A101,InvDump[#All],MATCH(M$3,InvDump[#Headers],0),FALSE),"-")</f>
        <v>-</v>
      </c>
      <c r="N101" s="64" t="str">
        <f>IFERROR(VLOOKUP($A101,InvDump[#All],MATCH(N$3,InvDump[#Headers],0),FALSE),"-")</f>
        <v>-</v>
      </c>
      <c r="O101" s="64" t="str">
        <f>IFERROR(VLOOKUP($A101,InvDump[#All],MATCH(O$3,InvDump[#Headers],0),FALSE),"-")</f>
        <v>-</v>
      </c>
      <c r="P101" s="65" t="str">
        <f>IFERROR(VLOOKUP($A101,InvDump[#All],MATCH(P$3,InvDump[#Headers],0),FALSE),"")</f>
        <v/>
      </c>
      <c r="Q101" s="65" t="str">
        <f>IFERROR(VLOOKUP($A101,InvDump[#All],MATCH(Q$3,InvDump[#Headers],0),FALSE),"")</f>
        <v/>
      </c>
      <c r="R101" s="65" t="str">
        <f>IFERROR(IF(VLOOKUP($A101,InvDump[#All],MATCH(R$3,InvDump[#Headers],0),FALSE)=0,"",VLOOKUP($A101,InvDump[#All],MATCH(R$3,InvDump[#Headers],0),FALSE)),"")</f>
        <v/>
      </c>
      <c r="S101" s="64" t="str">
        <f>IFERROR(IF(InvDump[[#This Row],[Annexure]]="Yes",VLOOKUP($A101,InvDump[#All],21,FALSE)&amp;"; "&amp;VLOOKUP($A101,InvDump[#All],23,FALSE),VLOOKUP($A101,InvDump[#All],21,FALSE)),"")</f>
        <v/>
      </c>
    </row>
    <row r="102" spans="1:19" x14ac:dyDescent="0.3">
      <c r="A102" s="68"/>
      <c r="B102" s="61" t="str">
        <f>IFERROR(VLOOKUP($A102,InvDump[#All],MATCH(B$3,InvDump[#Headers],0),FALSE),"-")</f>
        <v>-</v>
      </c>
      <c r="C102" s="62" t="str">
        <f>IFERROR(VLOOKUP($A102,InvDump[#All],MATCH(C$3,InvDump[#Headers],0),FALSE),"-")</f>
        <v>-</v>
      </c>
      <c r="D102" s="61" t="str">
        <f>IFERROR(VLOOKUP($A102,InvDump[#All],MATCH(D$3,InvDump[#Headers],0),FALSE),"-")</f>
        <v>-</v>
      </c>
      <c r="E102" s="61" t="str">
        <f>IFERROR(VLOOKUP($A102,InvDump[#All],MATCH(E$3,InvDump[#Headers],0),FALSE),"-")</f>
        <v>-</v>
      </c>
      <c r="F102" s="61" t="str">
        <f>IFERROR(VLOOKUP($A102,InvDump[#All],MATCH(F$3,InvDump[#Headers],0),FALSE),"-")</f>
        <v>-</v>
      </c>
      <c r="G102" s="61" t="str">
        <f>IFERROR(VLOOKUP($A102,InvDump[#All],MATCH(G$3,InvDump[#Headers],0),FALSE),"-")</f>
        <v>-</v>
      </c>
      <c r="H102" s="63" t="str">
        <f>IFERROR(VLOOKUP(G102,CustomerData!$B$4:$D$13,3),"-")</f>
        <v>-</v>
      </c>
      <c r="I102" s="61" t="str">
        <f>IFERROR(VLOOKUP($A102,InvDump[#All],MATCH(I$3,InvDump[#Headers],0),FALSE),"-")</f>
        <v>-</v>
      </c>
      <c r="J102" s="61" t="str">
        <f>IFERROR(VLOOKUP($A102,InvDump[#All],MATCH(J$3,InvDump[#Headers],0),FALSE),"-")</f>
        <v>-</v>
      </c>
      <c r="K102" s="61" t="str">
        <f>IFERROR(VLOOKUP($A102,InvDump[#All],MATCH(K$3,InvDump[#Headers],0),FALSE),"-")</f>
        <v>-</v>
      </c>
      <c r="L102" s="64" t="str">
        <f>IFERROR(VLOOKUP($A102,InvDump[#All],MATCH(L$3,InvDump[#Headers],0),FALSE),"-")</f>
        <v>-</v>
      </c>
      <c r="M102" s="64" t="str">
        <f>IFERROR(VLOOKUP($A102,InvDump[#All],MATCH(M$3,InvDump[#Headers],0),FALSE),"-")</f>
        <v>-</v>
      </c>
      <c r="N102" s="64" t="str">
        <f>IFERROR(VLOOKUP($A102,InvDump[#All],MATCH(N$3,InvDump[#Headers],0),FALSE),"-")</f>
        <v>-</v>
      </c>
      <c r="O102" s="64" t="str">
        <f>IFERROR(VLOOKUP($A102,InvDump[#All],MATCH(O$3,InvDump[#Headers],0),FALSE),"-")</f>
        <v>-</v>
      </c>
      <c r="P102" s="65" t="str">
        <f>IFERROR(VLOOKUP($A102,InvDump[#All],MATCH(P$3,InvDump[#Headers],0),FALSE),"")</f>
        <v/>
      </c>
      <c r="Q102" s="65" t="str">
        <f>IFERROR(VLOOKUP($A102,InvDump[#All],MATCH(Q$3,InvDump[#Headers],0),FALSE),"")</f>
        <v/>
      </c>
      <c r="R102" s="65" t="str">
        <f>IFERROR(IF(VLOOKUP($A102,InvDump[#All],MATCH(R$3,InvDump[#Headers],0),FALSE)=0,"",VLOOKUP($A102,InvDump[#All],MATCH(R$3,InvDump[#Headers],0),FALSE)),"")</f>
        <v/>
      </c>
      <c r="S102" s="64" t="str">
        <f>IFERROR(IF(InvDump[[#This Row],[Annexure]]="Yes",VLOOKUP($A102,InvDump[#All],21,FALSE)&amp;"; "&amp;VLOOKUP($A102,InvDump[#All],23,FALSE),VLOOKUP($A102,InvDump[#All],21,FALSE)),"")</f>
        <v/>
      </c>
    </row>
    <row r="103" spans="1:19" x14ac:dyDescent="0.3">
      <c r="A103" s="68"/>
      <c r="B103" s="61" t="str">
        <f>IFERROR(VLOOKUP($A103,InvDump[#All],MATCH(B$3,InvDump[#Headers],0),FALSE),"-")</f>
        <v>-</v>
      </c>
      <c r="C103" s="62" t="str">
        <f>IFERROR(VLOOKUP($A103,InvDump[#All],MATCH(C$3,InvDump[#Headers],0),FALSE),"-")</f>
        <v>-</v>
      </c>
      <c r="D103" s="61" t="str">
        <f>IFERROR(VLOOKUP($A103,InvDump[#All],MATCH(D$3,InvDump[#Headers],0),FALSE),"-")</f>
        <v>-</v>
      </c>
      <c r="E103" s="61" t="str">
        <f>IFERROR(VLOOKUP($A103,InvDump[#All],MATCH(E$3,InvDump[#Headers],0),FALSE),"-")</f>
        <v>-</v>
      </c>
      <c r="F103" s="61" t="str">
        <f>IFERROR(VLOOKUP($A103,InvDump[#All],MATCH(F$3,InvDump[#Headers],0),FALSE),"-")</f>
        <v>-</v>
      </c>
      <c r="G103" s="61" t="str">
        <f>IFERROR(VLOOKUP($A103,InvDump[#All],MATCH(G$3,InvDump[#Headers],0),FALSE),"-")</f>
        <v>-</v>
      </c>
      <c r="H103" s="63" t="str">
        <f>IFERROR(VLOOKUP(G103,CustomerData!$B$4:$D$13,3),"-")</f>
        <v>-</v>
      </c>
      <c r="I103" s="61" t="str">
        <f>IFERROR(VLOOKUP($A103,InvDump[#All],MATCH(I$3,InvDump[#Headers],0),FALSE),"-")</f>
        <v>-</v>
      </c>
      <c r="J103" s="61" t="str">
        <f>IFERROR(VLOOKUP($A103,InvDump[#All],MATCH(J$3,InvDump[#Headers],0),FALSE),"-")</f>
        <v>-</v>
      </c>
      <c r="K103" s="61" t="str">
        <f>IFERROR(VLOOKUP($A103,InvDump[#All],MATCH(K$3,InvDump[#Headers],0),FALSE),"-")</f>
        <v>-</v>
      </c>
      <c r="L103" s="64" t="str">
        <f>IFERROR(VLOOKUP($A103,InvDump[#All],MATCH(L$3,InvDump[#Headers],0),FALSE),"-")</f>
        <v>-</v>
      </c>
      <c r="M103" s="64" t="str">
        <f>IFERROR(VLOOKUP($A103,InvDump[#All],MATCH(M$3,InvDump[#Headers],0),FALSE),"-")</f>
        <v>-</v>
      </c>
      <c r="N103" s="64" t="str">
        <f>IFERROR(VLOOKUP($A103,InvDump[#All],MATCH(N$3,InvDump[#Headers],0),FALSE),"-")</f>
        <v>-</v>
      </c>
      <c r="O103" s="64" t="str">
        <f>IFERROR(VLOOKUP($A103,InvDump[#All],MATCH(O$3,InvDump[#Headers],0),FALSE),"-")</f>
        <v>-</v>
      </c>
      <c r="P103" s="65" t="str">
        <f>IFERROR(VLOOKUP($A103,InvDump[#All],MATCH(P$3,InvDump[#Headers],0),FALSE),"")</f>
        <v/>
      </c>
      <c r="Q103" s="65" t="str">
        <f>IFERROR(VLOOKUP($A103,InvDump[#All],MATCH(Q$3,InvDump[#Headers],0),FALSE),"")</f>
        <v/>
      </c>
      <c r="R103" s="65" t="str">
        <f>IFERROR(IF(VLOOKUP($A103,InvDump[#All],MATCH(R$3,InvDump[#Headers],0),FALSE)=0,"",VLOOKUP($A103,InvDump[#All],MATCH(R$3,InvDump[#Headers],0),FALSE)),"")</f>
        <v/>
      </c>
      <c r="S103" s="64" t="str">
        <f>IFERROR(IF(InvDump[[#This Row],[Annexure]]="Yes",VLOOKUP($A103,InvDump[#All],21,FALSE)&amp;"; "&amp;VLOOKUP($A103,InvDump[#All],23,FALSE),VLOOKUP($A103,InvDump[#All],21,FALSE)),"")</f>
        <v/>
      </c>
    </row>
    <row r="104" spans="1:19" x14ac:dyDescent="0.3">
      <c r="A104" s="68"/>
      <c r="B104" s="61" t="str">
        <f>IFERROR(VLOOKUP($A104,InvDump[#All],MATCH(B$3,InvDump[#Headers],0),FALSE),"-")</f>
        <v>-</v>
      </c>
      <c r="C104" s="62" t="str">
        <f>IFERROR(VLOOKUP($A104,InvDump[#All],MATCH(C$3,InvDump[#Headers],0),FALSE),"-")</f>
        <v>-</v>
      </c>
      <c r="D104" s="61" t="str">
        <f>IFERROR(VLOOKUP($A104,InvDump[#All],MATCH(D$3,InvDump[#Headers],0),FALSE),"-")</f>
        <v>-</v>
      </c>
      <c r="E104" s="61" t="str">
        <f>IFERROR(VLOOKUP($A104,InvDump[#All],MATCH(E$3,InvDump[#Headers],0),FALSE),"-")</f>
        <v>-</v>
      </c>
      <c r="F104" s="61" t="str">
        <f>IFERROR(VLOOKUP($A104,InvDump[#All],MATCH(F$3,InvDump[#Headers],0),FALSE),"-")</f>
        <v>-</v>
      </c>
      <c r="G104" s="61" t="str">
        <f>IFERROR(VLOOKUP($A104,InvDump[#All],MATCH(G$3,InvDump[#Headers],0),FALSE),"-")</f>
        <v>-</v>
      </c>
      <c r="H104" s="63" t="str">
        <f>IFERROR(VLOOKUP(G104,CustomerData!$B$4:$D$13,3),"-")</f>
        <v>-</v>
      </c>
      <c r="I104" s="61" t="str">
        <f>IFERROR(VLOOKUP($A104,InvDump[#All],MATCH(I$3,InvDump[#Headers],0),FALSE),"-")</f>
        <v>-</v>
      </c>
      <c r="J104" s="61" t="str">
        <f>IFERROR(VLOOKUP($A104,InvDump[#All],MATCH(J$3,InvDump[#Headers],0),FALSE),"-")</f>
        <v>-</v>
      </c>
      <c r="K104" s="61" t="str">
        <f>IFERROR(VLOOKUP($A104,InvDump[#All],MATCH(K$3,InvDump[#Headers],0),FALSE),"-")</f>
        <v>-</v>
      </c>
      <c r="L104" s="64" t="str">
        <f>IFERROR(VLOOKUP($A104,InvDump[#All],MATCH(L$3,InvDump[#Headers],0),FALSE),"-")</f>
        <v>-</v>
      </c>
      <c r="M104" s="64" t="str">
        <f>IFERROR(VLOOKUP($A104,InvDump[#All],MATCH(M$3,InvDump[#Headers],0),FALSE),"-")</f>
        <v>-</v>
      </c>
      <c r="N104" s="64" t="str">
        <f>IFERROR(VLOOKUP($A104,InvDump[#All],MATCH(N$3,InvDump[#Headers],0),FALSE),"-")</f>
        <v>-</v>
      </c>
      <c r="O104" s="64" t="str">
        <f>IFERROR(VLOOKUP($A104,InvDump[#All],MATCH(O$3,InvDump[#Headers],0),FALSE),"-")</f>
        <v>-</v>
      </c>
      <c r="P104" s="65" t="str">
        <f>IFERROR(VLOOKUP($A104,InvDump[#All],MATCH(P$3,InvDump[#Headers],0),FALSE),"")</f>
        <v/>
      </c>
      <c r="Q104" s="65" t="str">
        <f>IFERROR(VLOOKUP($A104,InvDump[#All],MATCH(Q$3,InvDump[#Headers],0),FALSE),"")</f>
        <v/>
      </c>
      <c r="R104" s="65" t="str">
        <f>IFERROR(IF(VLOOKUP($A104,InvDump[#All],MATCH(R$3,InvDump[#Headers],0),FALSE)=0,"",VLOOKUP($A104,InvDump[#All],MATCH(R$3,InvDump[#Headers],0),FALSE)),"")</f>
        <v/>
      </c>
      <c r="S104" s="64" t="str">
        <f>IFERROR(IF(InvDump[[#This Row],[Annexure]]="Yes",VLOOKUP($A104,InvDump[#All],21,FALSE)&amp;"; "&amp;VLOOKUP($A104,InvDump[#All],23,FALSE),VLOOKUP($A104,InvDump[#All],21,FALSE)),"")</f>
        <v/>
      </c>
    </row>
    <row r="105" spans="1:19" ht="15" thickBot="1" x14ac:dyDescent="0.35">
      <c r="B105" s="69" t="str">
        <f>IFERROR(VLOOKUP($A105,InvDump[#All],MATCH(B$3,InvDump[#Headers],0),FALSE),"-")</f>
        <v>-</v>
      </c>
      <c r="C105" s="70" t="str">
        <f>IFERROR(VLOOKUP($A105,InvDump[#All],MATCH(C$3,InvDump[#Headers],0),FALSE),"-")</f>
        <v>-</v>
      </c>
      <c r="D105" s="69" t="str">
        <f>IFERROR(VLOOKUP($A105,InvDump[#All],MATCH(D$3,InvDump[#Headers],0),FALSE),"-")</f>
        <v>-</v>
      </c>
      <c r="E105" s="69" t="str">
        <f>IFERROR(VLOOKUP($A105,InvDump[#All],MATCH(E$3,InvDump[#Headers],0),FALSE),"-")</f>
        <v>-</v>
      </c>
      <c r="F105" s="69" t="str">
        <f>IFERROR(VLOOKUP($A105,InvDump[#All],MATCH(F$3,InvDump[#Headers],0),FALSE),"-")</f>
        <v>-</v>
      </c>
      <c r="G105" s="69" t="str">
        <f>IFERROR(VLOOKUP($A105,InvDump[#All],MATCH(G$3,InvDump[#Headers],0),FALSE),"-")</f>
        <v>-</v>
      </c>
      <c r="H105" s="71" t="str">
        <f>IFERROR(VLOOKUP(G105,CustomerData!$B$4:$D$13,3),"-")</f>
        <v>-</v>
      </c>
      <c r="I105" s="69" t="str">
        <f>IFERROR(VLOOKUP($A105,InvDump[#All],MATCH(I$3,InvDump[#Headers],0),FALSE),"-")</f>
        <v>-</v>
      </c>
      <c r="J105" s="69" t="str">
        <f>IFERROR(VLOOKUP($A105,InvDump[#All],MATCH(J$3,InvDump[#Headers],0),FALSE),"-")</f>
        <v>-</v>
      </c>
      <c r="K105" s="69" t="str">
        <f>IFERROR(VLOOKUP($A105,InvDump[#All],MATCH(K$3,InvDump[#Headers],0),FALSE),"-")</f>
        <v>-</v>
      </c>
      <c r="L105" s="72" t="str">
        <f>IFERROR(VLOOKUP($A105,InvDump[#All],MATCH(L$3,InvDump[#Headers],0),FALSE),"-")</f>
        <v>-</v>
      </c>
      <c r="M105" s="72" t="str">
        <f>IFERROR(VLOOKUP($A105,InvDump[#All],MATCH(M$3,InvDump[#Headers],0),FALSE),"-")</f>
        <v>-</v>
      </c>
      <c r="N105" s="72" t="str">
        <f>IFERROR(VLOOKUP($A105,InvDump[#All],MATCH(N$3,InvDump[#Headers],0),FALSE),"-")</f>
        <v>-</v>
      </c>
      <c r="O105" s="72" t="str">
        <f>IFERROR(VLOOKUP($A105,InvDump[#All],MATCH(O$3,InvDump[#Headers],0),FALSE),"-")</f>
        <v>-</v>
      </c>
      <c r="P105" s="73" t="str">
        <f>IFERROR(VLOOKUP($A105,InvDump[#All],MATCH(P$3,InvDump[#Headers],0),FALSE),"")</f>
        <v/>
      </c>
      <c r="Q105" s="73" t="str">
        <f>IFERROR(VLOOKUP($A105,InvDump[#All],MATCH(Q$3,InvDump[#Headers],0),FALSE),"")</f>
        <v/>
      </c>
      <c r="R105" s="73" t="str">
        <f>IFERROR(IF(VLOOKUP($A105,InvDump[#All],MATCH(R$3,InvDump[#Headers],0),FALSE)=0,"",VLOOKUP($A105,InvDump[#All],MATCH(R$3,InvDump[#Headers],0),FALSE)),"")</f>
        <v/>
      </c>
      <c r="S105" s="72" t="str">
        <f>IFERROR(IF(InvDump[[#This Row],[Annexure]]="Yes",VLOOKUP($A105,InvDump[#All],21,FALSE)&amp;"; "&amp;VLOOKUP($A105,InvDump[#All],23,FALSE),VLOOKUP($A105,InvDump[#All],21,FALSE)),"")</f>
        <v/>
      </c>
    </row>
    <row r="106" spans="1:19" ht="15" thickBot="1" x14ac:dyDescent="0.35">
      <c r="B106" s="69" t="str">
        <f>IFERROR(VLOOKUP($A106,InvDump[#All],MATCH(B$3,InvDump[#Headers],0),FALSE),"-")</f>
        <v>-</v>
      </c>
      <c r="C106" s="70" t="str">
        <f>IFERROR(VLOOKUP($A106,InvDump[#All],MATCH(C$3,InvDump[#Headers],0),FALSE),"-")</f>
        <v>-</v>
      </c>
      <c r="D106" s="69" t="str">
        <f>IFERROR(VLOOKUP($A106,InvDump[#All],MATCH(D$3,InvDump[#Headers],0),FALSE),"-")</f>
        <v>-</v>
      </c>
      <c r="E106" s="69" t="str">
        <f>IFERROR(VLOOKUP($A106,InvDump[#All],MATCH(E$3,InvDump[#Headers],0),FALSE),"-")</f>
        <v>-</v>
      </c>
      <c r="F106" s="69" t="str">
        <f>IFERROR(VLOOKUP($A106,InvDump[#All],MATCH(F$3,InvDump[#Headers],0),FALSE),"-")</f>
        <v>-</v>
      </c>
      <c r="G106" s="69" t="str">
        <f>IFERROR(VLOOKUP($A106,InvDump[#All],MATCH(G$3,InvDump[#Headers],0),FALSE),"-")</f>
        <v>-</v>
      </c>
      <c r="H106" s="74" t="str">
        <f>IFERROR(VLOOKUP(G106,CustomerData!$B$4:$D$13,3),"-")</f>
        <v>-</v>
      </c>
      <c r="I106" s="69" t="str">
        <f>IFERROR(VLOOKUP($A106,InvDump[#All],MATCH(I$3,InvDump[#Headers],0),FALSE),"-")</f>
        <v>-</v>
      </c>
      <c r="J106" s="69" t="str">
        <f>IFERROR(VLOOKUP($A106,InvDump[#All],MATCH(J$3,InvDump[#Headers],0),FALSE),"-")</f>
        <v>-</v>
      </c>
      <c r="K106" s="69" t="str">
        <f>IFERROR(VLOOKUP($A106,InvDump[#All],MATCH(K$3,InvDump[#Headers],0),FALSE),"-")</f>
        <v>-</v>
      </c>
      <c r="L106" s="72" t="str">
        <f>IFERROR(VLOOKUP($A106,InvDump[#All],MATCH(L$3,InvDump[#Headers],0),FALSE),"-")</f>
        <v>-</v>
      </c>
      <c r="M106" s="72" t="str">
        <f>IFERROR(VLOOKUP($A106,InvDump[#All],MATCH(M$3,InvDump[#Headers],0),FALSE),"-")</f>
        <v>-</v>
      </c>
      <c r="N106" s="72" t="str">
        <f>IFERROR(VLOOKUP($A106,InvDump[#All],MATCH(N$3,InvDump[#Headers],0),FALSE),"-")</f>
        <v>-</v>
      </c>
      <c r="O106" s="72" t="str">
        <f>IFERROR(VLOOKUP($A106,InvDump[#All],MATCH(O$3,InvDump[#Headers],0),FALSE),"-")</f>
        <v>-</v>
      </c>
      <c r="P106" s="73" t="str">
        <f>IFERROR(VLOOKUP($A106,InvDump[#All],MATCH(P$3,InvDump[#Headers],0),FALSE),"")</f>
        <v/>
      </c>
      <c r="Q106" s="73" t="str">
        <f>IFERROR(VLOOKUP($A106,InvDump[#All],MATCH(Q$3,InvDump[#Headers],0),FALSE),"")</f>
        <v/>
      </c>
      <c r="R106" s="73" t="str">
        <f>IFERROR(IF(VLOOKUP($A106,InvDump[#All],MATCH(R$3,InvDump[#Headers],0),FALSE)=0,"",VLOOKUP($A106,InvDump[#All],MATCH(R$3,InvDump[#Headers],0),FALSE)),"")</f>
        <v/>
      </c>
      <c r="S106" s="72" t="str">
        <f>IFERROR(IF(InvDump[[#This Row],[Annexure]]="Yes",VLOOKUP($A106,InvDump[#All],21,FALSE)&amp;"; "&amp;VLOOKUP($A106,InvDump[#All],23,FALSE),VLOOKUP($A106,InvDump[#All],21,FALSE)),"")</f>
        <v/>
      </c>
    </row>
    <row r="107" spans="1:19" ht="15" thickBot="1" x14ac:dyDescent="0.35">
      <c r="B107" s="69" t="str">
        <f>IFERROR(VLOOKUP($A107,InvDump[#All],MATCH(B$3,InvDump[#Headers],0),FALSE),"-")</f>
        <v>-</v>
      </c>
      <c r="C107" s="70" t="str">
        <f>IFERROR(VLOOKUP($A107,InvDump[#All],MATCH(C$3,InvDump[#Headers],0),FALSE),"-")</f>
        <v>-</v>
      </c>
      <c r="D107" s="69" t="str">
        <f>IFERROR(VLOOKUP($A107,InvDump[#All],MATCH(D$3,InvDump[#Headers],0),FALSE),"-")</f>
        <v>-</v>
      </c>
      <c r="E107" s="69" t="str">
        <f>IFERROR(VLOOKUP($A107,InvDump[#All],MATCH(E$3,InvDump[#Headers],0),FALSE),"-")</f>
        <v>-</v>
      </c>
      <c r="F107" s="69" t="str">
        <f>IFERROR(VLOOKUP($A107,InvDump[#All],MATCH(F$3,InvDump[#Headers],0),FALSE),"-")</f>
        <v>-</v>
      </c>
      <c r="G107" s="69" t="str">
        <f>IFERROR(VLOOKUP($A107,InvDump[#All],MATCH(G$3,InvDump[#Headers],0),FALSE),"-")</f>
        <v>-</v>
      </c>
      <c r="H107" s="74" t="str">
        <f>IFERROR(VLOOKUP(G107,CustomerData!$B$4:$D$13,3),"-")</f>
        <v>-</v>
      </c>
      <c r="I107" s="69" t="str">
        <f>IFERROR(VLOOKUP($A107,InvDump[#All],MATCH(I$3,InvDump[#Headers],0),FALSE),"-")</f>
        <v>-</v>
      </c>
      <c r="J107" s="69" t="str">
        <f>IFERROR(VLOOKUP($A107,InvDump[#All],MATCH(J$3,InvDump[#Headers],0),FALSE),"-")</f>
        <v>-</v>
      </c>
      <c r="K107" s="69" t="str">
        <f>IFERROR(VLOOKUP($A107,InvDump[#All],MATCH(K$3,InvDump[#Headers],0),FALSE),"-")</f>
        <v>-</v>
      </c>
      <c r="L107" s="72" t="str">
        <f>IFERROR(VLOOKUP($A107,InvDump[#All],MATCH(L$3,InvDump[#Headers],0),FALSE),"-")</f>
        <v>-</v>
      </c>
      <c r="M107" s="72" t="str">
        <f>IFERROR(VLOOKUP($A107,InvDump[#All],MATCH(M$3,InvDump[#Headers],0),FALSE),"-")</f>
        <v>-</v>
      </c>
      <c r="N107" s="72" t="str">
        <f>IFERROR(VLOOKUP($A107,InvDump[#All],MATCH(N$3,InvDump[#Headers],0),FALSE),"-")</f>
        <v>-</v>
      </c>
      <c r="O107" s="72" t="str">
        <f>IFERROR(VLOOKUP($A107,InvDump[#All],MATCH(O$3,InvDump[#Headers],0),FALSE),"-")</f>
        <v>-</v>
      </c>
      <c r="P107" s="73" t="str">
        <f>IFERROR(VLOOKUP($A107,InvDump[#All],MATCH(P$3,InvDump[#Headers],0),FALSE),"")</f>
        <v/>
      </c>
      <c r="Q107" s="73" t="str">
        <f>IFERROR(VLOOKUP($A107,InvDump[#All],MATCH(Q$3,InvDump[#Headers],0),FALSE),"")</f>
        <v/>
      </c>
      <c r="R107" s="73" t="str">
        <f>IFERROR(IF(VLOOKUP($A107,InvDump[#All],MATCH(R$3,InvDump[#Headers],0),FALSE)=0,"",VLOOKUP($A107,InvDump[#All],MATCH(R$3,InvDump[#Headers],0),FALSE)),"")</f>
        <v/>
      </c>
      <c r="S107" s="72" t="str">
        <f>IFERROR(IF(InvDump[[#This Row],[Annexure]]="Yes",VLOOKUP($A107,InvDump[#All],21,FALSE)&amp;"; "&amp;VLOOKUP($A107,InvDump[#All],23,FALSE),VLOOKUP($A107,InvDump[#All],21,FALSE)),"")</f>
        <v/>
      </c>
    </row>
    <row r="108" spans="1:19" ht="15" thickBot="1" x14ac:dyDescent="0.35">
      <c r="B108" s="69" t="str">
        <f>IFERROR(VLOOKUP($A108,InvDump[#All],MATCH(B$3,InvDump[#Headers],0),FALSE),"-")</f>
        <v>-</v>
      </c>
      <c r="C108" s="70" t="str">
        <f>IFERROR(VLOOKUP($A108,InvDump[#All],MATCH(C$3,InvDump[#Headers],0),FALSE),"-")</f>
        <v>-</v>
      </c>
      <c r="D108" s="69" t="str">
        <f>IFERROR(VLOOKUP($A108,InvDump[#All],MATCH(D$3,InvDump[#Headers],0),FALSE),"-")</f>
        <v>-</v>
      </c>
      <c r="E108" s="69" t="str">
        <f>IFERROR(VLOOKUP($A108,InvDump[#All],MATCH(E$3,InvDump[#Headers],0),FALSE),"-")</f>
        <v>-</v>
      </c>
      <c r="F108" s="69" t="str">
        <f>IFERROR(VLOOKUP($A108,InvDump[#All],MATCH(F$3,InvDump[#Headers],0),FALSE),"-")</f>
        <v>-</v>
      </c>
      <c r="G108" s="69" t="str">
        <f>IFERROR(VLOOKUP($A108,InvDump[#All],MATCH(G$3,InvDump[#Headers],0),FALSE),"-")</f>
        <v>-</v>
      </c>
      <c r="H108" s="74" t="str">
        <f>IFERROR(VLOOKUP(G108,CustomerData!$B$4:$D$13,3),"-")</f>
        <v>-</v>
      </c>
      <c r="I108" s="69" t="str">
        <f>IFERROR(VLOOKUP($A108,InvDump[#All],MATCH(I$3,InvDump[#Headers],0),FALSE),"-")</f>
        <v>-</v>
      </c>
      <c r="J108" s="69" t="str">
        <f>IFERROR(VLOOKUP($A108,InvDump[#All],MATCH(J$3,InvDump[#Headers],0),FALSE),"-")</f>
        <v>-</v>
      </c>
      <c r="K108" s="69" t="str">
        <f>IFERROR(VLOOKUP($A108,InvDump[#All],MATCH(K$3,InvDump[#Headers],0),FALSE),"-")</f>
        <v>-</v>
      </c>
      <c r="L108" s="72" t="str">
        <f>IFERROR(VLOOKUP($A108,InvDump[#All],MATCH(L$3,InvDump[#Headers],0),FALSE),"-")</f>
        <v>-</v>
      </c>
      <c r="M108" s="72" t="str">
        <f>IFERROR(VLOOKUP($A108,InvDump[#All],MATCH(M$3,InvDump[#Headers],0),FALSE),"-")</f>
        <v>-</v>
      </c>
      <c r="N108" s="72" t="str">
        <f>IFERROR(VLOOKUP($A108,InvDump[#All],MATCH(N$3,InvDump[#Headers],0),FALSE),"-")</f>
        <v>-</v>
      </c>
      <c r="O108" s="72" t="str">
        <f>IFERROR(VLOOKUP($A108,InvDump[#All],MATCH(O$3,InvDump[#Headers],0),FALSE),"-")</f>
        <v>-</v>
      </c>
      <c r="P108" s="73" t="str">
        <f>IFERROR(VLOOKUP($A108,InvDump[#All],MATCH(P$3,InvDump[#Headers],0),FALSE),"")</f>
        <v/>
      </c>
      <c r="Q108" s="73" t="str">
        <f>IFERROR(VLOOKUP($A108,InvDump[#All],MATCH(Q$3,InvDump[#Headers],0),FALSE),"")</f>
        <v/>
      </c>
      <c r="R108" s="73" t="str">
        <f>IFERROR(IF(VLOOKUP($A108,InvDump[#All],MATCH(R$3,InvDump[#Headers],0),FALSE)=0,"",VLOOKUP($A108,InvDump[#All],MATCH(R$3,InvDump[#Headers],0),FALSE)),"")</f>
        <v/>
      </c>
      <c r="S108" s="72" t="str">
        <f>IFERROR(IF(InvDump[[#This Row],[Annexure]]="Yes",VLOOKUP($A108,InvDump[#All],21,FALSE)&amp;"; "&amp;VLOOKUP($A108,InvDump[#All],23,FALSE),VLOOKUP($A108,InvDump[#All],21,FALSE)),"")</f>
        <v/>
      </c>
    </row>
    <row r="109" spans="1:19" ht="15" thickBot="1" x14ac:dyDescent="0.35">
      <c r="B109" s="69" t="str">
        <f>IFERROR(VLOOKUP($A109,InvDump[#All],MATCH(B$3,InvDump[#Headers],0),FALSE),"-")</f>
        <v>-</v>
      </c>
      <c r="C109" s="70" t="str">
        <f>IFERROR(VLOOKUP($A109,InvDump[#All],MATCH(C$3,InvDump[#Headers],0),FALSE),"-")</f>
        <v>-</v>
      </c>
      <c r="D109" s="69" t="str">
        <f>IFERROR(VLOOKUP($A109,InvDump[#All],MATCH(D$3,InvDump[#Headers],0),FALSE),"-")</f>
        <v>-</v>
      </c>
      <c r="E109" s="69" t="str">
        <f>IFERROR(VLOOKUP($A109,InvDump[#All],MATCH(E$3,InvDump[#Headers],0),FALSE),"-")</f>
        <v>-</v>
      </c>
      <c r="F109" s="69" t="str">
        <f>IFERROR(VLOOKUP($A109,InvDump[#All],MATCH(F$3,InvDump[#Headers],0),FALSE),"-")</f>
        <v>-</v>
      </c>
      <c r="G109" s="69" t="str">
        <f>IFERROR(VLOOKUP($A109,InvDump[#All],MATCH(G$3,InvDump[#Headers],0),FALSE),"-")</f>
        <v>-</v>
      </c>
      <c r="H109" s="74" t="str">
        <f>IFERROR(VLOOKUP(G109,CustomerData!$B$4:$D$13,3),"-")</f>
        <v>-</v>
      </c>
      <c r="I109" s="69" t="str">
        <f>IFERROR(VLOOKUP($A109,InvDump[#All],MATCH(I$3,InvDump[#Headers],0),FALSE),"-")</f>
        <v>-</v>
      </c>
      <c r="J109" s="69" t="str">
        <f>IFERROR(VLOOKUP($A109,InvDump[#All],MATCH(J$3,InvDump[#Headers],0),FALSE),"-")</f>
        <v>-</v>
      </c>
      <c r="K109" s="69" t="str">
        <f>IFERROR(VLOOKUP($A109,InvDump[#All],MATCH(K$3,InvDump[#Headers],0),FALSE),"-")</f>
        <v>-</v>
      </c>
      <c r="L109" s="72" t="str">
        <f>IFERROR(VLOOKUP($A109,InvDump[#All],MATCH(L$3,InvDump[#Headers],0),FALSE),"-")</f>
        <v>-</v>
      </c>
      <c r="M109" s="72" t="str">
        <f>IFERROR(VLOOKUP($A109,InvDump[#All],MATCH(M$3,InvDump[#Headers],0),FALSE),"-")</f>
        <v>-</v>
      </c>
      <c r="N109" s="72" t="str">
        <f>IFERROR(VLOOKUP($A109,InvDump[#All],MATCH(N$3,InvDump[#Headers],0),FALSE),"-")</f>
        <v>-</v>
      </c>
      <c r="O109" s="72" t="str">
        <f>IFERROR(VLOOKUP($A109,InvDump[#All],MATCH(O$3,InvDump[#Headers],0),FALSE),"-")</f>
        <v>-</v>
      </c>
      <c r="P109" s="73" t="str">
        <f>IFERROR(VLOOKUP($A109,InvDump[#All],MATCH(P$3,InvDump[#Headers],0),FALSE),"")</f>
        <v/>
      </c>
      <c r="Q109" s="73" t="str">
        <f>IFERROR(VLOOKUP($A109,InvDump[#All],MATCH(Q$3,InvDump[#Headers],0),FALSE),"")</f>
        <v/>
      </c>
      <c r="R109" s="73" t="str">
        <f>IFERROR(IF(VLOOKUP($A109,InvDump[#All],MATCH(R$3,InvDump[#Headers],0),FALSE)=0,"",VLOOKUP($A109,InvDump[#All],MATCH(R$3,InvDump[#Headers],0),FALSE)),"")</f>
        <v/>
      </c>
      <c r="S109" s="72" t="str">
        <f>IFERROR(IF(InvDump[[#This Row],[Annexure]]="Yes",VLOOKUP($A109,InvDump[#All],21,FALSE)&amp;"; "&amp;VLOOKUP($A109,InvDump[#All],23,FALSE),VLOOKUP($A109,InvDump[#All],21,FALSE)),"")</f>
        <v/>
      </c>
    </row>
    <row r="110" spans="1:19" ht="15" thickBot="1" x14ac:dyDescent="0.35">
      <c r="B110" s="69" t="str">
        <f>IFERROR(VLOOKUP($A110,InvDump[#All],MATCH(B$3,InvDump[#Headers],0),FALSE),"-")</f>
        <v>-</v>
      </c>
      <c r="C110" s="70" t="str">
        <f>IFERROR(VLOOKUP($A110,InvDump[#All],MATCH(C$3,InvDump[#Headers],0),FALSE),"-")</f>
        <v>-</v>
      </c>
      <c r="D110" s="69" t="str">
        <f>IFERROR(VLOOKUP($A110,InvDump[#All],MATCH(D$3,InvDump[#Headers],0),FALSE),"-")</f>
        <v>-</v>
      </c>
      <c r="E110" s="69" t="str">
        <f>IFERROR(VLOOKUP($A110,InvDump[#All],MATCH(E$3,InvDump[#Headers],0),FALSE),"-")</f>
        <v>-</v>
      </c>
      <c r="F110" s="69" t="str">
        <f>IFERROR(VLOOKUP($A110,InvDump[#All],MATCH(F$3,InvDump[#Headers],0),FALSE),"-")</f>
        <v>-</v>
      </c>
      <c r="G110" s="69" t="str">
        <f>IFERROR(VLOOKUP($A110,InvDump[#All],MATCH(G$3,InvDump[#Headers],0),FALSE),"-")</f>
        <v>-</v>
      </c>
      <c r="H110" s="74" t="str">
        <f>IFERROR(VLOOKUP(G110,CustomerData!$B$4:$D$13,3),"-")</f>
        <v>-</v>
      </c>
      <c r="I110" s="69" t="str">
        <f>IFERROR(VLOOKUP($A110,InvDump[#All],MATCH(I$3,InvDump[#Headers],0),FALSE),"-")</f>
        <v>-</v>
      </c>
      <c r="J110" s="69" t="str">
        <f>IFERROR(VLOOKUP($A110,InvDump[#All],MATCH(J$3,InvDump[#Headers],0),FALSE),"-")</f>
        <v>-</v>
      </c>
      <c r="K110" s="69" t="str">
        <f>IFERROR(VLOOKUP($A110,InvDump[#All],MATCH(K$3,InvDump[#Headers],0),FALSE),"-")</f>
        <v>-</v>
      </c>
      <c r="L110" s="72" t="str">
        <f>IFERROR(VLOOKUP($A110,InvDump[#All],MATCH(L$3,InvDump[#Headers],0),FALSE),"-")</f>
        <v>-</v>
      </c>
      <c r="M110" s="72" t="str">
        <f>IFERROR(VLOOKUP($A110,InvDump[#All],MATCH(M$3,InvDump[#Headers],0),FALSE),"-")</f>
        <v>-</v>
      </c>
      <c r="N110" s="72" t="str">
        <f>IFERROR(VLOOKUP($A110,InvDump[#All],MATCH(N$3,InvDump[#Headers],0),FALSE),"-")</f>
        <v>-</v>
      </c>
      <c r="O110" s="72" t="str">
        <f>IFERROR(VLOOKUP($A110,InvDump[#All],MATCH(O$3,InvDump[#Headers],0),FALSE),"-")</f>
        <v>-</v>
      </c>
      <c r="P110" s="73" t="str">
        <f>IFERROR(VLOOKUP($A110,InvDump[#All],MATCH(P$3,InvDump[#Headers],0),FALSE),"")</f>
        <v/>
      </c>
      <c r="Q110" s="73" t="str">
        <f>IFERROR(VLOOKUP($A110,InvDump[#All],MATCH(Q$3,InvDump[#Headers],0),FALSE),"")</f>
        <v/>
      </c>
      <c r="R110" s="73" t="str">
        <f>IFERROR(IF(VLOOKUP($A110,InvDump[#All],MATCH(R$3,InvDump[#Headers],0),FALSE)=0,"",VLOOKUP($A110,InvDump[#All],MATCH(R$3,InvDump[#Headers],0),FALSE)),"")</f>
        <v/>
      </c>
      <c r="S110" s="72" t="str">
        <f>IFERROR(IF(InvDump[[#This Row],[Annexure]]="Yes",VLOOKUP($A110,InvDump[#All],21,FALSE)&amp;"; "&amp;VLOOKUP($A110,InvDump[#All],23,FALSE),VLOOKUP($A110,InvDump[#All],21,FALSE)),"")</f>
        <v/>
      </c>
    </row>
    <row r="111" spans="1:19" ht="15" thickBot="1" x14ac:dyDescent="0.35">
      <c r="B111" s="69" t="str">
        <f>IFERROR(VLOOKUP($A111,InvDump[#All],MATCH(B$3,InvDump[#Headers],0),FALSE),"-")</f>
        <v>-</v>
      </c>
      <c r="C111" s="70" t="str">
        <f>IFERROR(VLOOKUP($A111,InvDump[#All],MATCH(C$3,InvDump[#Headers],0),FALSE),"-")</f>
        <v>-</v>
      </c>
      <c r="D111" s="69" t="str">
        <f>IFERROR(VLOOKUP($A111,InvDump[#All],MATCH(D$3,InvDump[#Headers],0),FALSE),"-")</f>
        <v>-</v>
      </c>
      <c r="E111" s="69" t="str">
        <f>IFERROR(VLOOKUP($A111,InvDump[#All],MATCH(E$3,InvDump[#Headers],0),FALSE),"-")</f>
        <v>-</v>
      </c>
      <c r="F111" s="69" t="str">
        <f>IFERROR(VLOOKUP($A111,InvDump[#All],MATCH(F$3,InvDump[#Headers],0),FALSE),"-")</f>
        <v>-</v>
      </c>
      <c r="G111" s="69" t="str">
        <f>IFERROR(VLOOKUP($A111,InvDump[#All],MATCH(G$3,InvDump[#Headers],0),FALSE),"-")</f>
        <v>-</v>
      </c>
      <c r="H111" s="74" t="str">
        <f>IFERROR(VLOOKUP(G111,CustomerData!$B$4:$D$13,3),"-")</f>
        <v>-</v>
      </c>
      <c r="I111" s="69" t="str">
        <f>IFERROR(VLOOKUP($A111,InvDump[#All],MATCH(I$3,InvDump[#Headers],0),FALSE),"-")</f>
        <v>-</v>
      </c>
      <c r="J111" s="69" t="str">
        <f>IFERROR(VLOOKUP($A111,InvDump[#All],MATCH(J$3,InvDump[#Headers],0),FALSE),"-")</f>
        <v>-</v>
      </c>
      <c r="K111" s="69" t="str">
        <f>IFERROR(VLOOKUP($A111,InvDump[#All],MATCH(K$3,InvDump[#Headers],0),FALSE),"-")</f>
        <v>-</v>
      </c>
      <c r="L111" s="72" t="str">
        <f>IFERROR(VLOOKUP($A111,InvDump[#All],MATCH(L$3,InvDump[#Headers],0),FALSE),"-")</f>
        <v>-</v>
      </c>
      <c r="M111" s="72" t="str">
        <f>IFERROR(VLOOKUP($A111,InvDump[#All],MATCH(M$3,InvDump[#Headers],0),FALSE),"-")</f>
        <v>-</v>
      </c>
      <c r="N111" s="72" t="str">
        <f>IFERROR(VLOOKUP($A111,InvDump[#All],MATCH(N$3,InvDump[#Headers],0),FALSE),"-")</f>
        <v>-</v>
      </c>
      <c r="O111" s="72" t="str">
        <f>IFERROR(VLOOKUP($A111,InvDump[#All],MATCH(O$3,InvDump[#Headers],0),FALSE),"-")</f>
        <v>-</v>
      </c>
      <c r="P111" s="73" t="str">
        <f>IFERROR(VLOOKUP($A111,InvDump[#All],MATCH(P$3,InvDump[#Headers],0),FALSE),"")</f>
        <v/>
      </c>
      <c r="Q111" s="73" t="str">
        <f>IFERROR(VLOOKUP($A111,InvDump[#All],MATCH(Q$3,InvDump[#Headers],0),FALSE),"")</f>
        <v/>
      </c>
      <c r="R111" s="73" t="str">
        <f>IFERROR(IF(VLOOKUP($A111,InvDump[#All],MATCH(R$3,InvDump[#Headers],0),FALSE)=0,"",VLOOKUP($A111,InvDump[#All],MATCH(R$3,InvDump[#Headers],0),FALSE)),"")</f>
        <v/>
      </c>
      <c r="S111" s="72" t="str">
        <f>IFERROR(IF(InvDump[[#This Row],[Annexure]]="Yes",VLOOKUP($A111,InvDump[#All],21,FALSE)&amp;"; "&amp;VLOOKUP($A111,InvDump[#All],23,FALSE),VLOOKUP($A111,InvDump[#All],21,FALSE)),"")</f>
        <v/>
      </c>
    </row>
    <row r="112" spans="1:19" ht="15" thickBot="1" x14ac:dyDescent="0.35">
      <c r="B112" s="69" t="str">
        <f>IFERROR(VLOOKUP($A112,InvDump[#All],MATCH(B$3,InvDump[#Headers],0),FALSE),"-")</f>
        <v>-</v>
      </c>
      <c r="C112" s="70" t="str">
        <f>IFERROR(VLOOKUP($A112,InvDump[#All],MATCH(C$3,InvDump[#Headers],0),FALSE),"-")</f>
        <v>-</v>
      </c>
      <c r="D112" s="69" t="str">
        <f>IFERROR(VLOOKUP($A112,InvDump[#All],MATCH(D$3,InvDump[#Headers],0),FALSE),"-")</f>
        <v>-</v>
      </c>
      <c r="E112" s="69" t="str">
        <f>IFERROR(VLOOKUP($A112,InvDump[#All],MATCH(E$3,InvDump[#Headers],0),FALSE),"-")</f>
        <v>-</v>
      </c>
      <c r="F112" s="69" t="str">
        <f>IFERROR(VLOOKUP($A112,InvDump[#All],MATCH(F$3,InvDump[#Headers],0),FALSE),"-")</f>
        <v>-</v>
      </c>
      <c r="G112" s="69" t="str">
        <f>IFERROR(VLOOKUP($A112,InvDump[#All],MATCH(G$3,InvDump[#Headers],0),FALSE),"-")</f>
        <v>-</v>
      </c>
      <c r="H112" s="74" t="str">
        <f>IFERROR(VLOOKUP(G112,CustomerData!$B$4:$D$13,3),"-")</f>
        <v>-</v>
      </c>
      <c r="I112" s="69" t="str">
        <f>IFERROR(VLOOKUP($A112,InvDump[#All],MATCH(I$3,InvDump[#Headers],0),FALSE),"-")</f>
        <v>-</v>
      </c>
      <c r="J112" s="69" t="str">
        <f>IFERROR(VLOOKUP($A112,InvDump[#All],MATCH(J$3,InvDump[#Headers],0),FALSE),"-")</f>
        <v>-</v>
      </c>
      <c r="K112" s="69" t="str">
        <f>IFERROR(VLOOKUP($A112,InvDump[#All],MATCH(K$3,InvDump[#Headers],0),FALSE),"-")</f>
        <v>-</v>
      </c>
      <c r="L112" s="72" t="str">
        <f>IFERROR(VLOOKUP($A112,InvDump[#All],MATCH(L$3,InvDump[#Headers],0),FALSE),"-")</f>
        <v>-</v>
      </c>
      <c r="M112" s="72" t="str">
        <f>IFERROR(VLOOKUP($A112,InvDump[#All],MATCH(M$3,InvDump[#Headers],0),FALSE),"-")</f>
        <v>-</v>
      </c>
      <c r="N112" s="72" t="str">
        <f>IFERROR(VLOOKUP($A112,InvDump[#All],MATCH(N$3,InvDump[#Headers],0),FALSE),"-")</f>
        <v>-</v>
      </c>
      <c r="O112" s="72" t="str">
        <f>IFERROR(VLOOKUP($A112,InvDump[#All],MATCH(O$3,InvDump[#Headers],0),FALSE),"-")</f>
        <v>-</v>
      </c>
      <c r="P112" s="73" t="str">
        <f>IFERROR(VLOOKUP($A112,InvDump[#All],MATCH(P$3,InvDump[#Headers],0),FALSE),"")</f>
        <v/>
      </c>
      <c r="Q112" s="73" t="str">
        <f>IFERROR(VLOOKUP($A112,InvDump[#All],MATCH(Q$3,InvDump[#Headers],0),FALSE),"")</f>
        <v/>
      </c>
      <c r="R112" s="73" t="str">
        <f>IFERROR(IF(VLOOKUP($A112,InvDump[#All],MATCH(R$3,InvDump[#Headers],0),FALSE)=0,"",VLOOKUP($A112,InvDump[#All],MATCH(R$3,InvDump[#Headers],0),FALSE)),"")</f>
        <v/>
      </c>
      <c r="S112" s="72" t="str">
        <f>IFERROR(IF(InvDump[[#This Row],[Annexure]]="Yes",VLOOKUP($A112,InvDump[#All],21,FALSE)&amp;"; "&amp;VLOOKUP($A112,InvDump[#All],23,FALSE),VLOOKUP($A112,InvDump[#All],21,FALSE)),"")</f>
        <v/>
      </c>
    </row>
    <row r="113" spans="2:19" ht="15" thickBot="1" x14ac:dyDescent="0.35">
      <c r="B113" s="69" t="str">
        <f>IFERROR(VLOOKUP($A113,InvDump[#All],MATCH(B$3,InvDump[#Headers],0),FALSE),"-")</f>
        <v>-</v>
      </c>
      <c r="C113" s="70" t="str">
        <f>IFERROR(VLOOKUP($A113,InvDump[#All],MATCH(C$3,InvDump[#Headers],0),FALSE),"-")</f>
        <v>-</v>
      </c>
      <c r="D113" s="69" t="str">
        <f>IFERROR(VLOOKUP($A113,InvDump[#All],MATCH(D$3,InvDump[#Headers],0),FALSE),"-")</f>
        <v>-</v>
      </c>
      <c r="E113" s="69" t="str">
        <f>IFERROR(VLOOKUP($A113,InvDump[#All],MATCH(E$3,InvDump[#Headers],0),FALSE),"-")</f>
        <v>-</v>
      </c>
      <c r="F113" s="69" t="str">
        <f>IFERROR(VLOOKUP($A113,InvDump[#All],MATCH(F$3,InvDump[#Headers],0),FALSE),"-")</f>
        <v>-</v>
      </c>
      <c r="G113" s="69" t="str">
        <f>IFERROR(VLOOKUP($A113,InvDump[#All],MATCH(G$3,InvDump[#Headers],0),FALSE),"-")</f>
        <v>-</v>
      </c>
      <c r="H113" s="74" t="str">
        <f>IFERROR(VLOOKUP(G113,CustomerData!$B$4:$D$13,3),"-")</f>
        <v>-</v>
      </c>
      <c r="I113" s="69" t="str">
        <f>IFERROR(VLOOKUP($A113,InvDump[#All],MATCH(I$3,InvDump[#Headers],0),FALSE),"-")</f>
        <v>-</v>
      </c>
      <c r="J113" s="69" t="str">
        <f>IFERROR(VLOOKUP($A113,InvDump[#All],MATCH(J$3,InvDump[#Headers],0),FALSE),"-")</f>
        <v>-</v>
      </c>
      <c r="K113" s="69" t="str">
        <f>IFERROR(VLOOKUP($A113,InvDump[#All],MATCH(K$3,InvDump[#Headers],0),FALSE),"-")</f>
        <v>-</v>
      </c>
      <c r="L113" s="72" t="str">
        <f>IFERROR(VLOOKUP($A113,InvDump[#All],MATCH(L$3,InvDump[#Headers],0),FALSE),"-")</f>
        <v>-</v>
      </c>
      <c r="M113" s="72" t="str">
        <f>IFERROR(VLOOKUP($A113,InvDump[#All],MATCH(M$3,InvDump[#Headers],0),FALSE),"-")</f>
        <v>-</v>
      </c>
      <c r="N113" s="72" t="str">
        <f>IFERROR(VLOOKUP($A113,InvDump[#All],MATCH(N$3,InvDump[#Headers],0),FALSE),"-")</f>
        <v>-</v>
      </c>
      <c r="O113" s="72" t="str">
        <f>IFERROR(VLOOKUP($A113,InvDump[#All],MATCH(O$3,InvDump[#Headers],0),FALSE),"-")</f>
        <v>-</v>
      </c>
      <c r="P113" s="73" t="str">
        <f>IFERROR(VLOOKUP($A113,InvDump[#All],MATCH(P$3,InvDump[#Headers],0),FALSE),"")</f>
        <v/>
      </c>
      <c r="Q113" s="73" t="str">
        <f>IFERROR(VLOOKUP($A113,InvDump[#All],MATCH(Q$3,InvDump[#Headers],0),FALSE),"")</f>
        <v/>
      </c>
      <c r="R113" s="73" t="str">
        <f>IFERROR(IF(VLOOKUP($A113,InvDump[#All],MATCH(R$3,InvDump[#Headers],0),FALSE)=0,"",VLOOKUP($A113,InvDump[#All],MATCH(R$3,InvDump[#Headers],0),FALSE)),"")</f>
        <v/>
      </c>
      <c r="S113" s="72" t="str">
        <f>IFERROR(IF(InvDump[[#This Row],[Annexure]]="Yes",VLOOKUP($A113,InvDump[#All],21,FALSE)&amp;"; "&amp;VLOOKUP($A113,InvDump[#All],23,FALSE),VLOOKUP($A113,InvDump[#All],21,FALSE)),"")</f>
        <v/>
      </c>
    </row>
    <row r="114" spans="2:19" ht="15" thickBot="1" x14ac:dyDescent="0.35">
      <c r="B114" s="69" t="str">
        <f>IFERROR(VLOOKUP($A114,InvDump[#All],MATCH(B$3,InvDump[#Headers],0),FALSE),"-")</f>
        <v>-</v>
      </c>
      <c r="C114" s="70" t="str">
        <f>IFERROR(VLOOKUP($A114,InvDump[#All],MATCH(C$3,InvDump[#Headers],0),FALSE),"-")</f>
        <v>-</v>
      </c>
      <c r="D114" s="69" t="str">
        <f>IFERROR(VLOOKUP($A114,InvDump[#All],MATCH(D$3,InvDump[#Headers],0),FALSE),"-")</f>
        <v>-</v>
      </c>
      <c r="E114" s="69" t="str">
        <f>IFERROR(VLOOKUP($A114,InvDump[#All],MATCH(E$3,InvDump[#Headers],0),FALSE),"-")</f>
        <v>-</v>
      </c>
      <c r="F114" s="69" t="str">
        <f>IFERROR(VLOOKUP($A114,InvDump[#All],MATCH(F$3,InvDump[#Headers],0),FALSE),"-")</f>
        <v>-</v>
      </c>
      <c r="G114" s="69" t="str">
        <f>IFERROR(VLOOKUP($A114,InvDump[#All],MATCH(G$3,InvDump[#Headers],0),FALSE),"-")</f>
        <v>-</v>
      </c>
      <c r="H114" s="74" t="str">
        <f>IFERROR(VLOOKUP(G114,CustomerData!$B$4:$D$13,3),"-")</f>
        <v>-</v>
      </c>
      <c r="I114" s="69" t="str">
        <f>IFERROR(VLOOKUP($A114,InvDump[#All],MATCH(I$3,InvDump[#Headers],0),FALSE),"-")</f>
        <v>-</v>
      </c>
      <c r="J114" s="69" t="str">
        <f>IFERROR(VLOOKUP($A114,InvDump[#All],MATCH(J$3,InvDump[#Headers],0),FALSE),"-")</f>
        <v>-</v>
      </c>
      <c r="K114" s="69" t="str">
        <f>IFERROR(VLOOKUP($A114,InvDump[#All],MATCH(K$3,InvDump[#Headers],0),FALSE),"-")</f>
        <v>-</v>
      </c>
      <c r="L114" s="72" t="str">
        <f>IFERROR(VLOOKUP($A114,InvDump[#All],MATCH(L$3,InvDump[#Headers],0),FALSE),"-")</f>
        <v>-</v>
      </c>
      <c r="M114" s="72" t="str">
        <f>IFERROR(VLOOKUP($A114,InvDump[#All],MATCH(M$3,InvDump[#Headers],0),FALSE),"-")</f>
        <v>-</v>
      </c>
      <c r="N114" s="72" t="str">
        <f>IFERROR(VLOOKUP($A114,InvDump[#All],MATCH(N$3,InvDump[#Headers],0),FALSE),"-")</f>
        <v>-</v>
      </c>
      <c r="O114" s="72" t="str">
        <f>IFERROR(VLOOKUP($A114,InvDump[#All],MATCH(O$3,InvDump[#Headers],0),FALSE),"-")</f>
        <v>-</v>
      </c>
      <c r="P114" s="73" t="str">
        <f>IFERROR(VLOOKUP($A114,InvDump[#All],MATCH(P$3,InvDump[#Headers],0),FALSE),"")</f>
        <v/>
      </c>
      <c r="Q114" s="73" t="str">
        <f>IFERROR(VLOOKUP($A114,InvDump[#All],MATCH(Q$3,InvDump[#Headers],0),FALSE),"")</f>
        <v/>
      </c>
      <c r="R114" s="73" t="str">
        <f>IFERROR(IF(VLOOKUP($A114,InvDump[#All],MATCH(R$3,InvDump[#Headers],0),FALSE)=0,"",VLOOKUP($A114,InvDump[#All],MATCH(R$3,InvDump[#Headers],0),FALSE)),"")</f>
        <v/>
      </c>
      <c r="S114" s="72" t="str">
        <f>IFERROR(IF(InvDump[[#This Row],[Annexure]]="Yes",VLOOKUP($A114,InvDump[#All],21,FALSE)&amp;"; "&amp;VLOOKUP($A114,InvDump[#All],23,FALSE),VLOOKUP($A114,InvDump[#All],21,FALSE)),"")</f>
        <v/>
      </c>
    </row>
    <row r="115" spans="2:19" ht="15" thickBot="1" x14ac:dyDescent="0.35">
      <c r="B115" s="69" t="str">
        <f>IFERROR(VLOOKUP($A115,InvDump[#All],MATCH(B$3,InvDump[#Headers],0),FALSE),"-")</f>
        <v>-</v>
      </c>
      <c r="C115" s="70" t="str">
        <f>IFERROR(VLOOKUP($A115,InvDump[#All],MATCH(C$3,InvDump[#Headers],0),FALSE),"-")</f>
        <v>-</v>
      </c>
      <c r="D115" s="69" t="str">
        <f>IFERROR(VLOOKUP($A115,InvDump[#All],MATCH(D$3,InvDump[#Headers],0),FALSE),"-")</f>
        <v>-</v>
      </c>
      <c r="E115" s="69" t="str">
        <f>IFERROR(VLOOKUP($A115,InvDump[#All],MATCH(E$3,InvDump[#Headers],0),FALSE),"-")</f>
        <v>-</v>
      </c>
      <c r="F115" s="69" t="str">
        <f>IFERROR(VLOOKUP($A115,InvDump[#All],MATCH(F$3,InvDump[#Headers],0),FALSE),"-")</f>
        <v>-</v>
      </c>
      <c r="G115" s="69" t="str">
        <f>IFERROR(VLOOKUP($A115,InvDump[#All],MATCH(G$3,InvDump[#Headers],0),FALSE),"-")</f>
        <v>-</v>
      </c>
      <c r="H115" s="74" t="str">
        <f>IFERROR(VLOOKUP(G115,CustomerData!$B$4:$D$13,3),"-")</f>
        <v>-</v>
      </c>
      <c r="I115" s="69" t="str">
        <f>IFERROR(VLOOKUP($A115,InvDump[#All],MATCH(I$3,InvDump[#Headers],0),FALSE),"-")</f>
        <v>-</v>
      </c>
      <c r="J115" s="69" t="str">
        <f>IFERROR(VLOOKUP($A115,InvDump[#All],MATCH(J$3,InvDump[#Headers],0),FALSE),"-")</f>
        <v>-</v>
      </c>
      <c r="K115" s="69" t="str">
        <f>IFERROR(VLOOKUP($A115,InvDump[#All],MATCH(K$3,InvDump[#Headers],0),FALSE),"-")</f>
        <v>-</v>
      </c>
      <c r="L115" s="72" t="str">
        <f>IFERROR(VLOOKUP($A115,InvDump[#All],MATCH(L$3,InvDump[#Headers],0),FALSE),"-")</f>
        <v>-</v>
      </c>
      <c r="M115" s="72" t="str">
        <f>IFERROR(VLOOKUP($A115,InvDump[#All],MATCH(M$3,InvDump[#Headers],0),FALSE),"-")</f>
        <v>-</v>
      </c>
      <c r="N115" s="72" t="str">
        <f>IFERROR(VLOOKUP($A115,InvDump[#All],MATCH(N$3,InvDump[#Headers],0),FALSE),"-")</f>
        <v>-</v>
      </c>
      <c r="O115" s="72" t="str">
        <f>IFERROR(VLOOKUP($A115,InvDump[#All],MATCH(O$3,InvDump[#Headers],0),FALSE),"-")</f>
        <v>-</v>
      </c>
      <c r="P115" s="73" t="str">
        <f>IFERROR(VLOOKUP($A115,InvDump[#All],MATCH(P$3,InvDump[#Headers],0),FALSE),"")</f>
        <v/>
      </c>
      <c r="Q115" s="73" t="str">
        <f>IFERROR(VLOOKUP($A115,InvDump[#All],MATCH(Q$3,InvDump[#Headers],0),FALSE),"")</f>
        <v/>
      </c>
      <c r="R115" s="73" t="str">
        <f>IFERROR(IF(VLOOKUP($A115,InvDump[#All],MATCH(R$3,InvDump[#Headers],0),FALSE)=0,"",VLOOKUP($A115,InvDump[#All],MATCH(R$3,InvDump[#Headers],0),FALSE)),"")</f>
        <v/>
      </c>
      <c r="S115" s="72" t="str">
        <f>IFERROR(IF(InvDump[[#This Row],[Annexure]]="Yes",VLOOKUP($A115,InvDump[#All],21,FALSE)&amp;"; "&amp;VLOOKUP($A115,InvDump[#All],23,FALSE),VLOOKUP($A115,InvDump[#All],21,FALSE)),"")</f>
        <v/>
      </c>
    </row>
    <row r="116" spans="2:19" ht="15" thickBot="1" x14ac:dyDescent="0.35">
      <c r="B116" s="69" t="str">
        <f>IFERROR(VLOOKUP($A116,InvDump[#All],MATCH(B$3,InvDump[#Headers],0),FALSE),"-")</f>
        <v>-</v>
      </c>
      <c r="C116" s="70" t="str">
        <f>IFERROR(VLOOKUP($A116,InvDump[#All],MATCH(C$3,InvDump[#Headers],0),FALSE),"-")</f>
        <v>-</v>
      </c>
      <c r="D116" s="69" t="str">
        <f>IFERROR(VLOOKUP($A116,InvDump[#All],MATCH(D$3,InvDump[#Headers],0),FALSE),"-")</f>
        <v>-</v>
      </c>
      <c r="E116" s="69" t="str">
        <f>IFERROR(VLOOKUP($A116,InvDump[#All],MATCH(E$3,InvDump[#Headers],0),FALSE),"-")</f>
        <v>-</v>
      </c>
      <c r="F116" s="69" t="str">
        <f>IFERROR(VLOOKUP($A116,InvDump[#All],MATCH(F$3,InvDump[#Headers],0),FALSE),"-")</f>
        <v>-</v>
      </c>
      <c r="G116" s="69" t="str">
        <f>IFERROR(VLOOKUP($A116,InvDump[#All],MATCH(G$3,InvDump[#Headers],0),FALSE),"-")</f>
        <v>-</v>
      </c>
      <c r="H116" s="74" t="str">
        <f>IFERROR(VLOOKUP(G116,CustomerData!$B$4:$D$13,3),"-")</f>
        <v>-</v>
      </c>
      <c r="I116" s="69" t="str">
        <f>IFERROR(VLOOKUP($A116,InvDump[#All],MATCH(I$3,InvDump[#Headers],0),FALSE),"-")</f>
        <v>-</v>
      </c>
      <c r="J116" s="69" t="str">
        <f>IFERROR(VLOOKUP($A116,InvDump[#All],MATCH(J$3,InvDump[#Headers],0),FALSE),"-")</f>
        <v>-</v>
      </c>
      <c r="K116" s="69" t="str">
        <f>IFERROR(VLOOKUP($A116,InvDump[#All],MATCH(K$3,InvDump[#Headers],0),FALSE),"-")</f>
        <v>-</v>
      </c>
      <c r="L116" s="72" t="str">
        <f>IFERROR(VLOOKUP($A116,InvDump[#All],MATCH(L$3,InvDump[#Headers],0),FALSE),"-")</f>
        <v>-</v>
      </c>
      <c r="M116" s="72" t="str">
        <f>IFERROR(VLOOKUP($A116,InvDump[#All],MATCH(M$3,InvDump[#Headers],0),FALSE),"-")</f>
        <v>-</v>
      </c>
      <c r="N116" s="72" t="str">
        <f>IFERROR(VLOOKUP($A116,InvDump[#All],MATCH(N$3,InvDump[#Headers],0),FALSE),"-")</f>
        <v>-</v>
      </c>
      <c r="O116" s="72" t="str">
        <f>IFERROR(VLOOKUP($A116,InvDump[#All],MATCH(O$3,InvDump[#Headers],0),FALSE),"-")</f>
        <v>-</v>
      </c>
      <c r="P116" s="73" t="str">
        <f>IFERROR(VLOOKUP($A116,InvDump[#All],MATCH(P$3,InvDump[#Headers],0),FALSE),"")</f>
        <v/>
      </c>
      <c r="Q116" s="73" t="str">
        <f>IFERROR(VLOOKUP($A116,InvDump[#All],MATCH(Q$3,InvDump[#Headers],0),FALSE),"")</f>
        <v/>
      </c>
      <c r="R116" s="73" t="str">
        <f>IFERROR(IF(VLOOKUP($A116,InvDump[#All],MATCH(R$3,InvDump[#Headers],0),FALSE)=0,"",VLOOKUP($A116,InvDump[#All],MATCH(R$3,InvDump[#Headers],0),FALSE)),"")</f>
        <v/>
      </c>
      <c r="S116" s="72" t="str">
        <f>IFERROR(IF(InvDump[[#This Row],[Annexure]]="Yes",VLOOKUP($A116,InvDump[#All],21,FALSE)&amp;"; "&amp;VLOOKUP($A116,InvDump[#All],23,FALSE),VLOOKUP($A116,InvDump[#All],21,FALSE)),"")</f>
        <v/>
      </c>
    </row>
    <row r="117" spans="2:19" ht="15" thickBot="1" x14ac:dyDescent="0.35">
      <c r="B117" s="69" t="str">
        <f>IFERROR(VLOOKUP($A117,InvDump[#All],MATCH(B$3,InvDump[#Headers],0),FALSE),"-")</f>
        <v>-</v>
      </c>
      <c r="C117" s="70" t="str">
        <f>IFERROR(VLOOKUP($A117,InvDump[#All],MATCH(C$3,InvDump[#Headers],0),FALSE),"-")</f>
        <v>-</v>
      </c>
      <c r="D117" s="69" t="str">
        <f>IFERROR(VLOOKUP($A117,InvDump[#All],MATCH(D$3,InvDump[#Headers],0),FALSE),"-")</f>
        <v>-</v>
      </c>
      <c r="E117" s="69" t="str">
        <f>IFERROR(VLOOKUP($A117,InvDump[#All],MATCH(E$3,InvDump[#Headers],0),FALSE),"-")</f>
        <v>-</v>
      </c>
      <c r="F117" s="69" t="str">
        <f>IFERROR(VLOOKUP($A117,InvDump[#All],MATCH(F$3,InvDump[#Headers],0),FALSE),"-")</f>
        <v>-</v>
      </c>
      <c r="G117" s="69" t="str">
        <f>IFERROR(VLOOKUP($A117,InvDump[#All],MATCH(G$3,InvDump[#Headers],0),FALSE),"-")</f>
        <v>-</v>
      </c>
      <c r="H117" s="74" t="str">
        <f>IFERROR(VLOOKUP(G117,CustomerData!$B$4:$D$13,3),"-")</f>
        <v>-</v>
      </c>
      <c r="I117" s="69" t="str">
        <f>IFERROR(VLOOKUP($A117,InvDump[#All],MATCH(I$3,InvDump[#Headers],0),FALSE),"-")</f>
        <v>-</v>
      </c>
      <c r="J117" s="69" t="str">
        <f>IFERROR(VLOOKUP($A117,InvDump[#All],MATCH(J$3,InvDump[#Headers],0),FALSE),"-")</f>
        <v>-</v>
      </c>
      <c r="K117" s="69" t="str">
        <f>IFERROR(VLOOKUP($A117,InvDump[#All],MATCH(K$3,InvDump[#Headers],0),FALSE),"-")</f>
        <v>-</v>
      </c>
      <c r="L117" s="72" t="str">
        <f>IFERROR(VLOOKUP($A117,InvDump[#All],MATCH(L$3,InvDump[#Headers],0),FALSE),"-")</f>
        <v>-</v>
      </c>
      <c r="M117" s="72" t="str">
        <f>IFERROR(VLOOKUP($A117,InvDump[#All],MATCH(M$3,InvDump[#Headers],0),FALSE),"-")</f>
        <v>-</v>
      </c>
      <c r="N117" s="72" t="str">
        <f>IFERROR(VLOOKUP($A117,InvDump[#All],MATCH(N$3,InvDump[#Headers],0),FALSE),"-")</f>
        <v>-</v>
      </c>
      <c r="O117" s="72" t="str">
        <f>IFERROR(VLOOKUP($A117,InvDump[#All],MATCH(O$3,InvDump[#Headers],0),FALSE),"-")</f>
        <v>-</v>
      </c>
      <c r="P117" s="73" t="str">
        <f>IFERROR(VLOOKUP($A117,InvDump[#All],MATCH(P$3,InvDump[#Headers],0),FALSE),"")</f>
        <v/>
      </c>
      <c r="Q117" s="73" t="str">
        <f>IFERROR(VLOOKUP($A117,InvDump[#All],MATCH(Q$3,InvDump[#Headers],0),FALSE),"")</f>
        <v/>
      </c>
      <c r="R117" s="73" t="str">
        <f>IFERROR(IF(VLOOKUP($A117,InvDump[#All],MATCH(R$3,InvDump[#Headers],0),FALSE)=0,"",VLOOKUP($A117,InvDump[#All],MATCH(R$3,InvDump[#Headers],0),FALSE)),"")</f>
        <v/>
      </c>
      <c r="S117" s="72" t="str">
        <f>IFERROR(IF(InvDump[[#This Row],[Annexure]]="Yes",VLOOKUP($A117,InvDump[#All],21,FALSE)&amp;"; "&amp;VLOOKUP($A117,InvDump[#All],23,FALSE),VLOOKUP($A117,InvDump[#All],21,FALSE)),"")</f>
        <v/>
      </c>
    </row>
    <row r="118" spans="2:19" ht="15" thickBot="1" x14ac:dyDescent="0.35">
      <c r="B118" s="69" t="str">
        <f>IFERROR(VLOOKUP($A118,InvDump[#All],MATCH(B$3,InvDump[#Headers],0),FALSE),"-")</f>
        <v>-</v>
      </c>
      <c r="C118" s="70" t="str">
        <f>IFERROR(VLOOKUP($A118,InvDump[#All],MATCH(C$3,InvDump[#Headers],0),FALSE),"-")</f>
        <v>-</v>
      </c>
      <c r="D118" s="69" t="str">
        <f>IFERROR(VLOOKUP($A118,InvDump[#All],MATCH(D$3,InvDump[#Headers],0),FALSE),"-")</f>
        <v>-</v>
      </c>
      <c r="E118" s="69" t="str">
        <f>IFERROR(VLOOKUP($A118,InvDump[#All],MATCH(E$3,InvDump[#Headers],0),FALSE),"-")</f>
        <v>-</v>
      </c>
      <c r="F118" s="69" t="str">
        <f>IFERROR(VLOOKUP($A118,InvDump[#All],MATCH(F$3,InvDump[#Headers],0),FALSE),"-")</f>
        <v>-</v>
      </c>
      <c r="G118" s="69" t="str">
        <f>IFERROR(VLOOKUP($A118,InvDump[#All],MATCH(G$3,InvDump[#Headers],0),FALSE),"-")</f>
        <v>-</v>
      </c>
      <c r="H118" s="74" t="str">
        <f>IFERROR(VLOOKUP(G118,CustomerData!$B$4:$D$13,3),"-")</f>
        <v>-</v>
      </c>
      <c r="I118" s="69" t="str">
        <f>IFERROR(VLOOKUP($A118,InvDump[#All],MATCH(I$3,InvDump[#Headers],0),FALSE),"-")</f>
        <v>-</v>
      </c>
      <c r="J118" s="69" t="str">
        <f>IFERROR(VLOOKUP($A118,InvDump[#All],MATCH(J$3,InvDump[#Headers],0),FALSE),"-")</f>
        <v>-</v>
      </c>
      <c r="K118" s="69" t="str">
        <f>IFERROR(VLOOKUP($A118,InvDump[#All],MATCH(K$3,InvDump[#Headers],0),FALSE),"-")</f>
        <v>-</v>
      </c>
      <c r="L118" s="72" t="str">
        <f>IFERROR(VLOOKUP($A118,InvDump[#All],MATCH(L$3,InvDump[#Headers],0),FALSE),"-")</f>
        <v>-</v>
      </c>
      <c r="M118" s="72" t="str">
        <f>IFERROR(VLOOKUP($A118,InvDump[#All],MATCH(M$3,InvDump[#Headers],0),FALSE),"-")</f>
        <v>-</v>
      </c>
      <c r="N118" s="72" t="str">
        <f>IFERROR(VLOOKUP($A118,InvDump[#All],MATCH(N$3,InvDump[#Headers],0),FALSE),"-")</f>
        <v>-</v>
      </c>
      <c r="O118" s="72" t="str">
        <f>IFERROR(VLOOKUP($A118,InvDump[#All],MATCH(O$3,InvDump[#Headers],0),FALSE),"-")</f>
        <v>-</v>
      </c>
      <c r="P118" s="73" t="str">
        <f>IFERROR(VLOOKUP($A118,InvDump[#All],MATCH(P$3,InvDump[#Headers],0),FALSE),"")</f>
        <v/>
      </c>
      <c r="Q118" s="73" t="str">
        <f>IFERROR(VLOOKUP($A118,InvDump[#All],MATCH(Q$3,InvDump[#Headers],0),FALSE),"")</f>
        <v/>
      </c>
      <c r="R118" s="73" t="str">
        <f>IFERROR(IF(VLOOKUP($A118,InvDump[#All],MATCH(R$3,InvDump[#Headers],0),FALSE)=0,"",VLOOKUP($A118,InvDump[#All],MATCH(R$3,InvDump[#Headers],0),FALSE)),"")</f>
        <v/>
      </c>
      <c r="S118" s="72" t="str">
        <f>IFERROR(IF(InvDump[[#This Row],[Annexure]]="Yes",VLOOKUP($A118,InvDump[#All],21,FALSE)&amp;"; "&amp;VLOOKUP($A118,InvDump[#All],23,FALSE),VLOOKUP($A118,InvDump[#All],21,FALSE)),"")</f>
        <v/>
      </c>
    </row>
    <row r="119" spans="2:19" ht="15" thickBot="1" x14ac:dyDescent="0.35">
      <c r="B119" s="69" t="str">
        <f>IFERROR(VLOOKUP($A119,InvDump[#All],MATCH(B$3,InvDump[#Headers],0),FALSE),"-")</f>
        <v>-</v>
      </c>
      <c r="C119" s="70" t="str">
        <f>IFERROR(VLOOKUP($A119,InvDump[#All],MATCH(C$3,InvDump[#Headers],0),FALSE),"-")</f>
        <v>-</v>
      </c>
      <c r="D119" s="69" t="str">
        <f>IFERROR(VLOOKUP($A119,InvDump[#All],MATCH(D$3,InvDump[#Headers],0),FALSE),"-")</f>
        <v>-</v>
      </c>
      <c r="E119" s="69" t="str">
        <f>IFERROR(VLOOKUP($A119,InvDump[#All],MATCH(E$3,InvDump[#Headers],0),FALSE),"-")</f>
        <v>-</v>
      </c>
      <c r="F119" s="69" t="str">
        <f>IFERROR(VLOOKUP($A119,InvDump[#All],MATCH(F$3,InvDump[#Headers],0),FALSE),"-")</f>
        <v>-</v>
      </c>
      <c r="G119" s="69" t="str">
        <f>IFERROR(VLOOKUP($A119,InvDump[#All],MATCH(G$3,InvDump[#Headers],0),FALSE),"-")</f>
        <v>-</v>
      </c>
      <c r="H119" s="74" t="str">
        <f>IFERROR(VLOOKUP(G119,CustomerData!$B$4:$D$13,3),"-")</f>
        <v>-</v>
      </c>
      <c r="I119" s="69" t="str">
        <f>IFERROR(VLOOKUP($A119,InvDump[#All],MATCH(I$3,InvDump[#Headers],0),FALSE),"-")</f>
        <v>-</v>
      </c>
      <c r="J119" s="69" t="str">
        <f>IFERROR(VLOOKUP($A119,InvDump[#All],MATCH(J$3,InvDump[#Headers],0),FALSE),"-")</f>
        <v>-</v>
      </c>
      <c r="K119" s="69" t="str">
        <f>IFERROR(VLOOKUP($A119,InvDump[#All],MATCH(K$3,InvDump[#Headers],0),FALSE),"-")</f>
        <v>-</v>
      </c>
      <c r="L119" s="72" t="str">
        <f>IFERROR(VLOOKUP($A119,InvDump[#All],MATCH(L$3,InvDump[#Headers],0),FALSE),"-")</f>
        <v>-</v>
      </c>
      <c r="M119" s="72" t="str">
        <f>IFERROR(VLOOKUP($A119,InvDump[#All],MATCH(M$3,InvDump[#Headers],0),FALSE),"-")</f>
        <v>-</v>
      </c>
      <c r="N119" s="72" t="str">
        <f>IFERROR(VLOOKUP($A119,InvDump[#All],MATCH(N$3,InvDump[#Headers],0),FALSE),"-")</f>
        <v>-</v>
      </c>
      <c r="O119" s="72" t="str">
        <f>IFERROR(VLOOKUP($A119,InvDump[#All],MATCH(O$3,InvDump[#Headers],0),FALSE),"-")</f>
        <v>-</v>
      </c>
      <c r="P119" s="73" t="str">
        <f>IFERROR(VLOOKUP($A119,InvDump[#All],MATCH(P$3,InvDump[#Headers],0),FALSE),"")</f>
        <v/>
      </c>
      <c r="Q119" s="73" t="str">
        <f>IFERROR(VLOOKUP($A119,InvDump[#All],MATCH(Q$3,InvDump[#Headers],0),FALSE),"")</f>
        <v/>
      </c>
      <c r="R119" s="73" t="str">
        <f>IFERROR(IF(VLOOKUP($A119,InvDump[#All],MATCH(R$3,InvDump[#Headers],0),FALSE)=0,"",VLOOKUP($A119,InvDump[#All],MATCH(R$3,InvDump[#Headers],0),FALSE)),"")</f>
        <v/>
      </c>
      <c r="S119" s="72" t="str">
        <f>IFERROR(IF(InvDump[[#This Row],[Annexure]]="Yes",VLOOKUP($A119,InvDump[#All],21,FALSE)&amp;"; "&amp;VLOOKUP($A119,InvDump[#All],23,FALSE),VLOOKUP($A119,InvDump[#All],21,FALSE)),"")</f>
        <v/>
      </c>
    </row>
    <row r="120" spans="2:19" ht="15" thickBot="1" x14ac:dyDescent="0.35">
      <c r="B120" s="69" t="str">
        <f>IFERROR(VLOOKUP($A120,InvDump[#All],MATCH(B$3,InvDump[#Headers],0),FALSE),"-")</f>
        <v>-</v>
      </c>
      <c r="C120" s="70" t="str">
        <f>IFERROR(VLOOKUP($A120,InvDump[#All],MATCH(C$3,InvDump[#Headers],0),FALSE),"-")</f>
        <v>-</v>
      </c>
      <c r="D120" s="69" t="str">
        <f>IFERROR(VLOOKUP($A120,InvDump[#All],MATCH(D$3,InvDump[#Headers],0),FALSE),"-")</f>
        <v>-</v>
      </c>
      <c r="E120" s="69" t="str">
        <f>IFERROR(VLOOKUP($A120,InvDump[#All],MATCH(E$3,InvDump[#Headers],0),FALSE),"-")</f>
        <v>-</v>
      </c>
      <c r="F120" s="69" t="str">
        <f>IFERROR(VLOOKUP($A120,InvDump[#All],MATCH(F$3,InvDump[#Headers],0),FALSE),"-")</f>
        <v>-</v>
      </c>
      <c r="G120" s="69" t="str">
        <f>IFERROR(VLOOKUP($A120,InvDump[#All],MATCH(G$3,InvDump[#Headers],0),FALSE),"-")</f>
        <v>-</v>
      </c>
      <c r="H120" s="74" t="str">
        <f>IFERROR(VLOOKUP(G120,CustomerData!$B$4:$D$13,3),"-")</f>
        <v>-</v>
      </c>
      <c r="I120" s="69" t="str">
        <f>IFERROR(VLOOKUP($A120,InvDump[#All],MATCH(I$3,InvDump[#Headers],0),FALSE),"-")</f>
        <v>-</v>
      </c>
      <c r="J120" s="69" t="str">
        <f>IFERROR(VLOOKUP($A120,InvDump[#All],MATCH(J$3,InvDump[#Headers],0),FALSE),"-")</f>
        <v>-</v>
      </c>
      <c r="K120" s="69" t="str">
        <f>IFERROR(VLOOKUP($A120,InvDump[#All],MATCH(K$3,InvDump[#Headers],0),FALSE),"-")</f>
        <v>-</v>
      </c>
      <c r="L120" s="72" t="str">
        <f>IFERROR(VLOOKUP($A120,InvDump[#All],MATCH(L$3,InvDump[#Headers],0),FALSE),"-")</f>
        <v>-</v>
      </c>
      <c r="M120" s="72" t="str">
        <f>IFERROR(VLOOKUP($A120,InvDump[#All],MATCH(M$3,InvDump[#Headers],0),FALSE),"-")</f>
        <v>-</v>
      </c>
      <c r="N120" s="72" t="str">
        <f>IFERROR(VLOOKUP($A120,InvDump[#All],MATCH(N$3,InvDump[#Headers],0),FALSE),"-")</f>
        <v>-</v>
      </c>
      <c r="O120" s="72" t="str">
        <f>IFERROR(VLOOKUP($A120,InvDump[#All],MATCH(O$3,InvDump[#Headers],0),FALSE),"-")</f>
        <v>-</v>
      </c>
      <c r="P120" s="73" t="str">
        <f>IFERROR(VLOOKUP($A120,InvDump[#All],MATCH(P$3,InvDump[#Headers],0),FALSE),"")</f>
        <v/>
      </c>
      <c r="Q120" s="73" t="str">
        <f>IFERROR(VLOOKUP($A120,InvDump[#All],MATCH(Q$3,InvDump[#Headers],0),FALSE),"")</f>
        <v/>
      </c>
      <c r="R120" s="73" t="str">
        <f>IFERROR(IF(VLOOKUP($A120,InvDump[#All],MATCH(R$3,InvDump[#Headers],0),FALSE)=0,"",VLOOKUP($A120,InvDump[#All],MATCH(R$3,InvDump[#Headers],0),FALSE)),"")</f>
        <v/>
      </c>
      <c r="S120" s="72" t="str">
        <f>IFERROR(IF(InvDump[[#This Row],[Annexure]]="Yes",VLOOKUP($A120,InvDump[#All],21,FALSE)&amp;"; "&amp;VLOOKUP($A120,InvDump[#All],23,FALSE),VLOOKUP($A120,InvDump[#All],21,FALSE)),"")</f>
        <v/>
      </c>
    </row>
    <row r="121" spans="2:19" ht="15" thickBot="1" x14ac:dyDescent="0.35">
      <c r="B121" s="69" t="str">
        <f>IFERROR(VLOOKUP($A121,InvDump[#All],MATCH(B$3,InvDump[#Headers],0),FALSE),"-")</f>
        <v>-</v>
      </c>
      <c r="C121" s="70" t="str">
        <f>IFERROR(VLOOKUP($A121,InvDump[#All],MATCH(C$3,InvDump[#Headers],0),FALSE),"-")</f>
        <v>-</v>
      </c>
      <c r="D121" s="69" t="str">
        <f>IFERROR(VLOOKUP($A121,InvDump[#All],MATCH(D$3,InvDump[#Headers],0),FALSE),"-")</f>
        <v>-</v>
      </c>
      <c r="E121" s="69" t="str">
        <f>IFERROR(VLOOKUP($A121,InvDump[#All],MATCH(E$3,InvDump[#Headers],0),FALSE),"-")</f>
        <v>-</v>
      </c>
      <c r="F121" s="69" t="str">
        <f>IFERROR(VLOOKUP($A121,InvDump[#All],MATCH(F$3,InvDump[#Headers],0),FALSE),"-")</f>
        <v>-</v>
      </c>
      <c r="G121" s="69" t="str">
        <f>IFERROR(VLOOKUP($A121,InvDump[#All],MATCH(G$3,InvDump[#Headers],0),FALSE),"-")</f>
        <v>-</v>
      </c>
      <c r="H121" s="74" t="str">
        <f>IFERROR(VLOOKUP(G121,CustomerData!$B$4:$D$13,3),"-")</f>
        <v>-</v>
      </c>
      <c r="I121" s="69" t="str">
        <f>IFERROR(VLOOKUP($A121,InvDump[#All],MATCH(I$3,InvDump[#Headers],0),FALSE),"-")</f>
        <v>-</v>
      </c>
      <c r="J121" s="69" t="str">
        <f>IFERROR(VLOOKUP($A121,InvDump[#All],MATCH(J$3,InvDump[#Headers],0),FALSE),"-")</f>
        <v>-</v>
      </c>
      <c r="K121" s="69" t="str">
        <f>IFERROR(VLOOKUP($A121,InvDump[#All],MATCH(K$3,InvDump[#Headers],0),FALSE),"-")</f>
        <v>-</v>
      </c>
      <c r="L121" s="72" t="str">
        <f>IFERROR(VLOOKUP($A121,InvDump[#All],MATCH(L$3,InvDump[#Headers],0),FALSE),"-")</f>
        <v>-</v>
      </c>
      <c r="M121" s="72" t="str">
        <f>IFERROR(VLOOKUP($A121,InvDump[#All],MATCH(M$3,InvDump[#Headers],0),FALSE),"-")</f>
        <v>-</v>
      </c>
      <c r="N121" s="72" t="str">
        <f>IFERROR(VLOOKUP($A121,InvDump[#All],MATCH(N$3,InvDump[#Headers],0),FALSE),"-")</f>
        <v>-</v>
      </c>
      <c r="O121" s="72" t="str">
        <f>IFERROR(VLOOKUP($A121,InvDump[#All],MATCH(O$3,InvDump[#Headers],0),FALSE),"-")</f>
        <v>-</v>
      </c>
      <c r="P121" s="73" t="str">
        <f>IFERROR(VLOOKUP($A121,InvDump[#All],MATCH(P$3,InvDump[#Headers],0),FALSE),"")</f>
        <v/>
      </c>
      <c r="Q121" s="73" t="str">
        <f>IFERROR(VLOOKUP($A121,InvDump[#All],MATCH(Q$3,InvDump[#Headers],0),FALSE),"")</f>
        <v/>
      </c>
      <c r="R121" s="73" t="str">
        <f>IFERROR(IF(VLOOKUP($A121,InvDump[#All],MATCH(R$3,InvDump[#Headers],0),FALSE)=0,"",VLOOKUP($A121,InvDump[#All],MATCH(R$3,InvDump[#Headers],0),FALSE)),"")</f>
        <v/>
      </c>
      <c r="S121" s="72" t="str">
        <f>IFERROR(IF(InvDump[[#This Row],[Annexure]]="Yes",VLOOKUP($A121,InvDump[#All],21,FALSE)&amp;"; "&amp;VLOOKUP($A121,InvDump[#All],23,FALSE),VLOOKUP($A121,InvDump[#All],21,FALSE)),"")</f>
        <v/>
      </c>
    </row>
    <row r="122" spans="2:19" ht="15" thickBot="1" x14ac:dyDescent="0.35">
      <c r="B122" s="69" t="str">
        <f>IFERROR(VLOOKUP($A122,InvDump[#All],MATCH(B$3,InvDump[#Headers],0),FALSE),"-")</f>
        <v>-</v>
      </c>
      <c r="C122" s="70" t="str">
        <f>IFERROR(VLOOKUP($A122,InvDump[#All],MATCH(C$3,InvDump[#Headers],0),FALSE),"-")</f>
        <v>-</v>
      </c>
      <c r="D122" s="69" t="str">
        <f>IFERROR(VLOOKUP($A122,InvDump[#All],MATCH(D$3,InvDump[#Headers],0),FALSE),"-")</f>
        <v>-</v>
      </c>
      <c r="E122" s="69" t="str">
        <f>IFERROR(VLOOKUP($A122,InvDump[#All],MATCH(E$3,InvDump[#Headers],0),FALSE),"-")</f>
        <v>-</v>
      </c>
      <c r="F122" s="69" t="str">
        <f>IFERROR(VLOOKUP($A122,InvDump[#All],MATCH(F$3,InvDump[#Headers],0),FALSE),"-")</f>
        <v>-</v>
      </c>
      <c r="G122" s="69" t="str">
        <f>IFERROR(VLOOKUP($A122,InvDump[#All],MATCH(G$3,InvDump[#Headers],0),FALSE),"-")</f>
        <v>-</v>
      </c>
      <c r="H122" s="74" t="str">
        <f>IFERROR(VLOOKUP(G122,CustomerData!$B$4:$D$13,3),"-")</f>
        <v>-</v>
      </c>
      <c r="I122" s="69" t="str">
        <f>IFERROR(VLOOKUP($A122,InvDump[#All],MATCH(I$3,InvDump[#Headers],0),FALSE),"-")</f>
        <v>-</v>
      </c>
      <c r="J122" s="69" t="str">
        <f>IFERROR(VLOOKUP($A122,InvDump[#All],MATCH(J$3,InvDump[#Headers],0),FALSE),"-")</f>
        <v>-</v>
      </c>
      <c r="K122" s="69" t="str">
        <f>IFERROR(VLOOKUP($A122,InvDump[#All],MATCH(K$3,InvDump[#Headers],0),FALSE),"-")</f>
        <v>-</v>
      </c>
      <c r="L122" s="72" t="str">
        <f>IFERROR(VLOOKUP($A122,InvDump[#All],MATCH(L$3,InvDump[#Headers],0),FALSE),"-")</f>
        <v>-</v>
      </c>
      <c r="M122" s="72" t="str">
        <f>IFERROR(VLOOKUP($A122,InvDump[#All],MATCH(M$3,InvDump[#Headers],0),FALSE),"-")</f>
        <v>-</v>
      </c>
      <c r="N122" s="72" t="str">
        <f>IFERROR(VLOOKUP($A122,InvDump[#All],MATCH(N$3,InvDump[#Headers],0),FALSE),"-")</f>
        <v>-</v>
      </c>
      <c r="O122" s="72" t="str">
        <f>IFERROR(VLOOKUP($A122,InvDump[#All],MATCH(O$3,InvDump[#Headers],0),FALSE),"-")</f>
        <v>-</v>
      </c>
      <c r="P122" s="73" t="str">
        <f>IFERROR(VLOOKUP($A122,InvDump[#All],MATCH(P$3,InvDump[#Headers],0),FALSE),"")</f>
        <v/>
      </c>
      <c r="Q122" s="73" t="str">
        <f>IFERROR(VLOOKUP($A122,InvDump[#All],MATCH(Q$3,InvDump[#Headers],0),FALSE),"")</f>
        <v/>
      </c>
      <c r="R122" s="73" t="str">
        <f>IFERROR(IF(VLOOKUP($A122,InvDump[#All],MATCH(R$3,InvDump[#Headers],0),FALSE)=0,"",VLOOKUP($A122,InvDump[#All],MATCH(R$3,InvDump[#Headers],0),FALSE)),"")</f>
        <v/>
      </c>
      <c r="S122" s="72" t="str">
        <f>IFERROR(IF(InvDump[[#This Row],[Annexure]]="Yes",VLOOKUP($A122,InvDump[#All],21,FALSE)&amp;"; "&amp;VLOOKUP($A122,InvDump[#All],23,FALSE),VLOOKUP($A122,InvDump[#All],21,FALSE)),"")</f>
        <v/>
      </c>
    </row>
    <row r="123" spans="2:19" ht="15" thickBot="1" x14ac:dyDescent="0.35">
      <c r="B123" s="69" t="str">
        <f>IFERROR(VLOOKUP($A123,InvDump[#All],MATCH(B$3,InvDump[#Headers],0),FALSE),"-")</f>
        <v>-</v>
      </c>
      <c r="C123" s="70" t="str">
        <f>IFERROR(VLOOKUP($A123,InvDump[#All],MATCH(C$3,InvDump[#Headers],0),FALSE),"-")</f>
        <v>-</v>
      </c>
      <c r="D123" s="69" t="str">
        <f>IFERROR(VLOOKUP($A123,InvDump[#All],MATCH(D$3,InvDump[#Headers],0),FALSE),"-")</f>
        <v>-</v>
      </c>
      <c r="E123" s="69" t="str">
        <f>IFERROR(VLOOKUP($A123,InvDump[#All],MATCH(E$3,InvDump[#Headers],0),FALSE),"-")</f>
        <v>-</v>
      </c>
      <c r="F123" s="69" t="str">
        <f>IFERROR(VLOOKUP($A123,InvDump[#All],MATCH(F$3,InvDump[#Headers],0),FALSE),"-")</f>
        <v>-</v>
      </c>
      <c r="G123" s="69" t="str">
        <f>IFERROR(VLOOKUP($A123,InvDump[#All],MATCH(G$3,InvDump[#Headers],0),FALSE),"-")</f>
        <v>-</v>
      </c>
      <c r="H123" s="74" t="str">
        <f>IFERROR(VLOOKUP(G123,CustomerData!$B$4:$D$13,3),"-")</f>
        <v>-</v>
      </c>
      <c r="I123" s="69" t="str">
        <f>IFERROR(VLOOKUP($A123,InvDump[#All],MATCH(I$3,InvDump[#Headers],0),FALSE),"-")</f>
        <v>-</v>
      </c>
      <c r="J123" s="69" t="str">
        <f>IFERROR(VLOOKUP($A123,InvDump[#All],MATCH(J$3,InvDump[#Headers],0),FALSE),"-")</f>
        <v>-</v>
      </c>
      <c r="K123" s="69" t="str">
        <f>IFERROR(VLOOKUP($A123,InvDump[#All],MATCH(K$3,InvDump[#Headers],0),FALSE),"-")</f>
        <v>-</v>
      </c>
      <c r="L123" s="72" t="str">
        <f>IFERROR(VLOOKUP($A123,InvDump[#All],MATCH(L$3,InvDump[#Headers],0),FALSE),"-")</f>
        <v>-</v>
      </c>
      <c r="M123" s="72" t="str">
        <f>IFERROR(VLOOKUP($A123,InvDump[#All],MATCH(M$3,InvDump[#Headers],0),FALSE),"-")</f>
        <v>-</v>
      </c>
      <c r="N123" s="72" t="str">
        <f>IFERROR(VLOOKUP($A123,InvDump[#All],MATCH(N$3,InvDump[#Headers],0),FALSE),"-")</f>
        <v>-</v>
      </c>
      <c r="O123" s="72" t="str">
        <f>IFERROR(VLOOKUP($A123,InvDump[#All],MATCH(O$3,InvDump[#Headers],0),FALSE),"-")</f>
        <v>-</v>
      </c>
      <c r="P123" s="73" t="str">
        <f>IFERROR(VLOOKUP($A123,InvDump[#All],MATCH(P$3,InvDump[#Headers],0),FALSE),"")</f>
        <v/>
      </c>
      <c r="Q123" s="73" t="str">
        <f>IFERROR(VLOOKUP($A123,InvDump[#All],MATCH(Q$3,InvDump[#Headers],0),FALSE),"")</f>
        <v/>
      </c>
      <c r="R123" s="73" t="str">
        <f>IFERROR(IF(VLOOKUP($A123,InvDump[#All],MATCH(R$3,InvDump[#Headers],0),FALSE)=0,"",VLOOKUP($A123,InvDump[#All],MATCH(R$3,InvDump[#Headers],0),FALSE)),"")</f>
        <v/>
      </c>
      <c r="S123" s="72" t="str">
        <f>IFERROR(IF(InvDump[[#This Row],[Annexure]]="Yes",VLOOKUP($A123,InvDump[#All],21,FALSE)&amp;"; "&amp;VLOOKUP($A123,InvDump[#All],23,FALSE),VLOOKUP($A123,InvDump[#All],21,FALSE)),"")</f>
        <v/>
      </c>
    </row>
    <row r="124" spans="2:19" ht="15" thickBot="1" x14ac:dyDescent="0.35">
      <c r="B124" s="69" t="str">
        <f>IFERROR(VLOOKUP($A124,InvDump[#All],MATCH(B$3,InvDump[#Headers],0),FALSE),"-")</f>
        <v>-</v>
      </c>
      <c r="C124" s="70" t="str">
        <f>IFERROR(VLOOKUP($A124,InvDump[#All],MATCH(C$3,InvDump[#Headers],0),FALSE),"-")</f>
        <v>-</v>
      </c>
      <c r="D124" s="69" t="str">
        <f>IFERROR(VLOOKUP($A124,InvDump[#All],MATCH(D$3,InvDump[#Headers],0),FALSE),"-")</f>
        <v>-</v>
      </c>
      <c r="E124" s="69" t="str">
        <f>IFERROR(VLOOKUP($A124,InvDump[#All],MATCH(E$3,InvDump[#Headers],0),FALSE),"-")</f>
        <v>-</v>
      </c>
      <c r="F124" s="69" t="str">
        <f>IFERROR(VLOOKUP($A124,InvDump[#All],MATCH(F$3,InvDump[#Headers],0),FALSE),"-")</f>
        <v>-</v>
      </c>
      <c r="G124" s="69" t="str">
        <f>IFERROR(VLOOKUP($A124,InvDump[#All],MATCH(G$3,InvDump[#Headers],0),FALSE),"-")</f>
        <v>-</v>
      </c>
      <c r="H124" s="74" t="str">
        <f>IFERROR(VLOOKUP(G124,CustomerData!$B$4:$D$13,3),"-")</f>
        <v>-</v>
      </c>
      <c r="I124" s="69" t="str">
        <f>IFERROR(VLOOKUP($A124,InvDump[#All],MATCH(I$3,InvDump[#Headers],0),FALSE),"-")</f>
        <v>-</v>
      </c>
      <c r="J124" s="69" t="str">
        <f>IFERROR(VLOOKUP($A124,InvDump[#All],MATCH(J$3,InvDump[#Headers],0),FALSE),"-")</f>
        <v>-</v>
      </c>
      <c r="K124" s="69" t="str">
        <f>IFERROR(VLOOKUP($A124,InvDump[#All],MATCH(K$3,InvDump[#Headers],0),FALSE),"-")</f>
        <v>-</v>
      </c>
      <c r="L124" s="72" t="str">
        <f>IFERROR(VLOOKUP($A124,InvDump[#All],MATCH(L$3,InvDump[#Headers],0),FALSE),"-")</f>
        <v>-</v>
      </c>
      <c r="M124" s="72" t="str">
        <f>IFERROR(VLOOKUP($A124,InvDump[#All],MATCH(M$3,InvDump[#Headers],0),FALSE),"-")</f>
        <v>-</v>
      </c>
      <c r="N124" s="72" t="str">
        <f>IFERROR(VLOOKUP($A124,InvDump[#All],MATCH(N$3,InvDump[#Headers],0),FALSE),"-")</f>
        <v>-</v>
      </c>
      <c r="O124" s="72" t="str">
        <f>IFERROR(VLOOKUP($A124,InvDump[#All],MATCH(O$3,InvDump[#Headers],0),FALSE),"-")</f>
        <v>-</v>
      </c>
      <c r="P124" s="73" t="str">
        <f>IFERROR(VLOOKUP($A124,InvDump[#All],MATCH(P$3,InvDump[#Headers],0),FALSE),"")</f>
        <v/>
      </c>
      <c r="Q124" s="73" t="str">
        <f>IFERROR(VLOOKUP($A124,InvDump[#All],MATCH(Q$3,InvDump[#Headers],0),FALSE),"")</f>
        <v/>
      </c>
      <c r="R124" s="73" t="str">
        <f>IFERROR(IF(VLOOKUP($A124,InvDump[#All],MATCH(R$3,InvDump[#Headers],0),FALSE)=0,"",VLOOKUP($A124,InvDump[#All],MATCH(R$3,InvDump[#Headers],0),FALSE)),"")</f>
        <v/>
      </c>
      <c r="S124" s="72" t="str">
        <f>IFERROR(IF(InvDump[[#This Row],[Annexure]]="Yes",VLOOKUP($A124,InvDump[#All],21,FALSE)&amp;"; "&amp;VLOOKUP($A124,InvDump[#All],23,FALSE),VLOOKUP($A124,InvDump[#All],21,FALSE)),"")</f>
        <v/>
      </c>
    </row>
    <row r="125" spans="2:19" ht="15" thickBot="1" x14ac:dyDescent="0.35">
      <c r="B125" s="69" t="str">
        <f>IFERROR(VLOOKUP($A125,InvDump[#All],MATCH(B$3,InvDump[#Headers],0),FALSE),"-")</f>
        <v>-</v>
      </c>
      <c r="C125" s="70" t="str">
        <f>IFERROR(VLOOKUP($A125,InvDump[#All],MATCH(C$3,InvDump[#Headers],0),FALSE),"-")</f>
        <v>-</v>
      </c>
      <c r="D125" s="69" t="str">
        <f>IFERROR(VLOOKUP($A125,InvDump[#All],MATCH(D$3,InvDump[#Headers],0),FALSE),"-")</f>
        <v>-</v>
      </c>
      <c r="E125" s="69" t="str">
        <f>IFERROR(VLOOKUP($A125,InvDump[#All],MATCH(E$3,InvDump[#Headers],0),FALSE),"-")</f>
        <v>-</v>
      </c>
      <c r="F125" s="69" t="str">
        <f>IFERROR(VLOOKUP($A125,InvDump[#All],MATCH(F$3,InvDump[#Headers],0),FALSE),"-")</f>
        <v>-</v>
      </c>
      <c r="G125" s="69" t="str">
        <f>IFERROR(VLOOKUP($A125,InvDump[#All],MATCH(G$3,InvDump[#Headers],0),FALSE),"-")</f>
        <v>-</v>
      </c>
      <c r="H125" s="74" t="str">
        <f>IFERROR(VLOOKUP(G125,CustomerData!$B$4:$D$13,3),"-")</f>
        <v>-</v>
      </c>
      <c r="I125" s="69" t="str">
        <f>IFERROR(VLOOKUP($A125,InvDump[#All],MATCH(I$3,InvDump[#Headers],0),FALSE),"-")</f>
        <v>-</v>
      </c>
      <c r="J125" s="69" t="str">
        <f>IFERROR(VLOOKUP($A125,InvDump[#All],MATCH(J$3,InvDump[#Headers],0),FALSE),"-")</f>
        <v>-</v>
      </c>
      <c r="K125" s="69" t="str">
        <f>IFERROR(VLOOKUP($A125,InvDump[#All],MATCH(K$3,InvDump[#Headers],0),FALSE),"-")</f>
        <v>-</v>
      </c>
      <c r="L125" s="72" t="str">
        <f>IFERROR(VLOOKUP($A125,InvDump[#All],MATCH(L$3,InvDump[#Headers],0),FALSE),"-")</f>
        <v>-</v>
      </c>
      <c r="M125" s="72" t="str">
        <f>IFERROR(VLOOKUP($A125,InvDump[#All],MATCH(M$3,InvDump[#Headers],0),FALSE),"-")</f>
        <v>-</v>
      </c>
      <c r="N125" s="72" t="str">
        <f>IFERROR(VLOOKUP($A125,InvDump[#All],MATCH(N$3,InvDump[#Headers],0),FALSE),"-")</f>
        <v>-</v>
      </c>
      <c r="O125" s="72" t="str">
        <f>IFERROR(VLOOKUP($A125,InvDump[#All],MATCH(O$3,InvDump[#Headers],0),FALSE),"-")</f>
        <v>-</v>
      </c>
      <c r="P125" s="73" t="str">
        <f>IFERROR(VLOOKUP($A125,InvDump[#All],MATCH(P$3,InvDump[#Headers],0),FALSE),"")</f>
        <v/>
      </c>
      <c r="Q125" s="73" t="str">
        <f>IFERROR(VLOOKUP($A125,InvDump[#All],MATCH(Q$3,InvDump[#Headers],0),FALSE),"")</f>
        <v/>
      </c>
      <c r="R125" s="73" t="str">
        <f>IFERROR(IF(VLOOKUP($A125,InvDump[#All],MATCH(R$3,InvDump[#Headers],0),FALSE)=0,"",VLOOKUP($A125,InvDump[#All],MATCH(R$3,InvDump[#Headers],0),FALSE)),"")</f>
        <v/>
      </c>
      <c r="S125" s="72" t="str">
        <f>IFERROR(IF(InvDump[[#This Row],[Annexure]]="Yes",VLOOKUP($A125,InvDump[#All],21,FALSE)&amp;"; "&amp;VLOOKUP($A125,InvDump[#All],23,FALSE),VLOOKUP($A125,InvDump[#All],21,FALSE)),"")</f>
        <v/>
      </c>
    </row>
    <row r="126" spans="2:19" ht="15" thickBot="1" x14ac:dyDescent="0.35">
      <c r="B126" s="69" t="str">
        <f>IFERROR(VLOOKUP($A126,InvDump[#All],MATCH(B$3,InvDump[#Headers],0),FALSE),"-")</f>
        <v>-</v>
      </c>
      <c r="C126" s="70" t="str">
        <f>IFERROR(VLOOKUP($A126,InvDump[#All],MATCH(C$3,InvDump[#Headers],0),FALSE),"-")</f>
        <v>-</v>
      </c>
      <c r="D126" s="69" t="str">
        <f>IFERROR(VLOOKUP($A126,InvDump[#All],MATCH(D$3,InvDump[#Headers],0),FALSE),"-")</f>
        <v>-</v>
      </c>
      <c r="E126" s="69" t="str">
        <f>IFERROR(VLOOKUP($A126,InvDump[#All],MATCH(E$3,InvDump[#Headers],0),FALSE),"-")</f>
        <v>-</v>
      </c>
      <c r="F126" s="69" t="str">
        <f>IFERROR(VLOOKUP($A126,InvDump[#All],MATCH(F$3,InvDump[#Headers],0),FALSE),"-")</f>
        <v>-</v>
      </c>
      <c r="G126" s="69" t="str">
        <f>IFERROR(VLOOKUP($A126,InvDump[#All],MATCH(G$3,InvDump[#Headers],0),FALSE),"-")</f>
        <v>-</v>
      </c>
      <c r="H126" s="74" t="str">
        <f>IFERROR(VLOOKUP(G126,CustomerData!$B$4:$D$13,3),"-")</f>
        <v>-</v>
      </c>
      <c r="I126" s="69" t="str">
        <f>IFERROR(VLOOKUP($A126,InvDump[#All],MATCH(I$3,InvDump[#Headers],0),FALSE),"-")</f>
        <v>-</v>
      </c>
      <c r="J126" s="69" t="str">
        <f>IFERROR(VLOOKUP($A126,InvDump[#All],MATCH(J$3,InvDump[#Headers],0),FALSE),"-")</f>
        <v>-</v>
      </c>
      <c r="K126" s="69" t="str">
        <f>IFERROR(VLOOKUP($A126,InvDump[#All],MATCH(K$3,InvDump[#Headers],0),FALSE),"-")</f>
        <v>-</v>
      </c>
      <c r="L126" s="72" t="str">
        <f>IFERROR(VLOOKUP($A126,InvDump[#All],MATCH(L$3,InvDump[#Headers],0),FALSE),"-")</f>
        <v>-</v>
      </c>
      <c r="M126" s="72" t="str">
        <f>IFERROR(VLOOKUP($A126,InvDump[#All],MATCH(M$3,InvDump[#Headers],0),FALSE),"-")</f>
        <v>-</v>
      </c>
      <c r="N126" s="72" t="str">
        <f>IFERROR(VLOOKUP($A126,InvDump[#All],MATCH(N$3,InvDump[#Headers],0),FALSE),"-")</f>
        <v>-</v>
      </c>
      <c r="O126" s="72" t="str">
        <f>IFERROR(VLOOKUP($A126,InvDump[#All],MATCH(O$3,InvDump[#Headers],0),FALSE),"-")</f>
        <v>-</v>
      </c>
      <c r="P126" s="73" t="str">
        <f>IFERROR(VLOOKUP($A126,InvDump[#All],MATCH(P$3,InvDump[#Headers],0),FALSE),"")</f>
        <v/>
      </c>
      <c r="Q126" s="73" t="str">
        <f>IFERROR(VLOOKUP($A126,InvDump[#All],MATCH(Q$3,InvDump[#Headers],0),FALSE),"")</f>
        <v/>
      </c>
      <c r="R126" s="73" t="str">
        <f>IFERROR(IF(VLOOKUP($A126,InvDump[#All],MATCH(R$3,InvDump[#Headers],0),FALSE)=0,"",VLOOKUP($A126,InvDump[#All],MATCH(R$3,InvDump[#Headers],0),FALSE)),"")</f>
        <v/>
      </c>
      <c r="S126" s="72" t="str">
        <f>IFERROR(IF(InvDump[[#This Row],[Annexure]]="Yes",VLOOKUP($A126,InvDump[#All],21,FALSE)&amp;"; "&amp;VLOOKUP($A126,InvDump[#All],23,FALSE),VLOOKUP($A126,InvDump[#All],21,FALSE)),"")</f>
        <v/>
      </c>
    </row>
    <row r="127" spans="2:19" ht="15" thickBot="1" x14ac:dyDescent="0.35">
      <c r="B127" s="69" t="str">
        <f>IFERROR(VLOOKUP($A127,InvDump[#All],MATCH(B$3,InvDump[#Headers],0),FALSE),"-")</f>
        <v>-</v>
      </c>
      <c r="C127" s="70" t="str">
        <f>IFERROR(VLOOKUP($A127,InvDump[#All],MATCH(C$3,InvDump[#Headers],0),FALSE),"-")</f>
        <v>-</v>
      </c>
      <c r="D127" s="69" t="str">
        <f>IFERROR(VLOOKUP($A127,InvDump[#All],MATCH(D$3,InvDump[#Headers],0),FALSE),"-")</f>
        <v>-</v>
      </c>
      <c r="E127" s="69" t="str">
        <f>IFERROR(VLOOKUP($A127,InvDump[#All],MATCH(E$3,InvDump[#Headers],0),FALSE),"-")</f>
        <v>-</v>
      </c>
      <c r="F127" s="69" t="str">
        <f>IFERROR(VLOOKUP($A127,InvDump[#All],MATCH(F$3,InvDump[#Headers],0),FALSE),"-")</f>
        <v>-</v>
      </c>
      <c r="G127" s="69" t="str">
        <f>IFERROR(VLOOKUP($A127,InvDump[#All],MATCH(G$3,InvDump[#Headers],0),FALSE),"-")</f>
        <v>-</v>
      </c>
      <c r="H127" s="74" t="str">
        <f>IFERROR(VLOOKUP(G127,CustomerData!$B$4:$D$13,3),"-")</f>
        <v>-</v>
      </c>
      <c r="I127" s="69" t="str">
        <f>IFERROR(VLOOKUP($A127,InvDump[#All],MATCH(I$3,InvDump[#Headers],0),FALSE),"-")</f>
        <v>-</v>
      </c>
      <c r="J127" s="69" t="str">
        <f>IFERROR(VLOOKUP($A127,InvDump[#All],MATCH(J$3,InvDump[#Headers],0),FALSE),"-")</f>
        <v>-</v>
      </c>
      <c r="K127" s="69" t="str">
        <f>IFERROR(VLOOKUP($A127,InvDump[#All],MATCH(K$3,InvDump[#Headers],0),FALSE),"-")</f>
        <v>-</v>
      </c>
      <c r="L127" s="72" t="str">
        <f>IFERROR(VLOOKUP($A127,InvDump[#All],MATCH(L$3,InvDump[#Headers],0),FALSE),"-")</f>
        <v>-</v>
      </c>
      <c r="M127" s="72" t="str">
        <f>IFERROR(VLOOKUP($A127,InvDump[#All],MATCH(M$3,InvDump[#Headers],0),FALSE),"-")</f>
        <v>-</v>
      </c>
      <c r="N127" s="72" t="str">
        <f>IFERROR(VLOOKUP($A127,InvDump[#All],MATCH(N$3,InvDump[#Headers],0),FALSE),"-")</f>
        <v>-</v>
      </c>
      <c r="O127" s="72" t="str">
        <f>IFERROR(VLOOKUP($A127,InvDump[#All],MATCH(O$3,InvDump[#Headers],0),FALSE),"-")</f>
        <v>-</v>
      </c>
      <c r="P127" s="73" t="str">
        <f>IFERROR(VLOOKUP($A127,InvDump[#All],MATCH(P$3,InvDump[#Headers],0),FALSE),"")</f>
        <v/>
      </c>
      <c r="Q127" s="73" t="str">
        <f>IFERROR(VLOOKUP($A127,InvDump[#All],MATCH(Q$3,InvDump[#Headers],0),FALSE),"")</f>
        <v/>
      </c>
      <c r="R127" s="73" t="str">
        <f>IFERROR(IF(VLOOKUP($A127,InvDump[#All],MATCH(R$3,InvDump[#Headers],0),FALSE)=0,"",VLOOKUP($A127,InvDump[#All],MATCH(R$3,InvDump[#Headers],0),FALSE)),"")</f>
        <v/>
      </c>
      <c r="S127" s="72" t="str">
        <f>IFERROR(IF(InvDump[[#This Row],[Annexure]]="Yes",VLOOKUP($A127,InvDump[#All],21,FALSE)&amp;"; "&amp;VLOOKUP($A127,InvDump[#All],23,FALSE),VLOOKUP($A127,InvDump[#All],21,FALSE)),"")</f>
        <v/>
      </c>
    </row>
    <row r="128" spans="2:19" ht="15" thickBot="1" x14ac:dyDescent="0.35">
      <c r="B128" s="69" t="str">
        <f>IFERROR(VLOOKUP($A128,InvDump[#All],MATCH(B$3,InvDump[#Headers],0),FALSE),"-")</f>
        <v>-</v>
      </c>
      <c r="C128" s="70" t="str">
        <f>IFERROR(VLOOKUP($A128,InvDump[#All],MATCH(C$3,InvDump[#Headers],0),FALSE),"-")</f>
        <v>-</v>
      </c>
      <c r="D128" s="69" t="str">
        <f>IFERROR(VLOOKUP($A128,InvDump[#All],MATCH(D$3,InvDump[#Headers],0),FALSE),"-")</f>
        <v>-</v>
      </c>
      <c r="E128" s="69" t="str">
        <f>IFERROR(VLOOKUP($A128,InvDump[#All],MATCH(E$3,InvDump[#Headers],0),FALSE),"-")</f>
        <v>-</v>
      </c>
      <c r="F128" s="69" t="str">
        <f>IFERROR(VLOOKUP($A128,InvDump[#All],MATCH(F$3,InvDump[#Headers],0),FALSE),"-")</f>
        <v>-</v>
      </c>
      <c r="G128" s="69" t="str">
        <f>IFERROR(VLOOKUP($A128,InvDump[#All],MATCH(G$3,InvDump[#Headers],0),FALSE),"-")</f>
        <v>-</v>
      </c>
      <c r="H128" s="74" t="str">
        <f>IFERROR(VLOOKUP(G128,CustomerData!$B$4:$D$13,3),"-")</f>
        <v>-</v>
      </c>
      <c r="I128" s="69" t="str">
        <f>IFERROR(VLOOKUP($A128,InvDump[#All],MATCH(I$3,InvDump[#Headers],0),FALSE),"-")</f>
        <v>-</v>
      </c>
      <c r="J128" s="69" t="str">
        <f>IFERROR(VLOOKUP($A128,InvDump[#All],MATCH(J$3,InvDump[#Headers],0),FALSE),"-")</f>
        <v>-</v>
      </c>
      <c r="K128" s="69" t="str">
        <f>IFERROR(VLOOKUP($A128,InvDump[#All],MATCH(K$3,InvDump[#Headers],0),FALSE),"-")</f>
        <v>-</v>
      </c>
      <c r="L128" s="72" t="str">
        <f>IFERROR(VLOOKUP($A128,InvDump[#All],MATCH(L$3,InvDump[#Headers],0),FALSE),"-")</f>
        <v>-</v>
      </c>
      <c r="M128" s="72" t="str">
        <f>IFERROR(VLOOKUP($A128,InvDump[#All],MATCH(M$3,InvDump[#Headers],0),FALSE),"-")</f>
        <v>-</v>
      </c>
      <c r="N128" s="72" t="str">
        <f>IFERROR(VLOOKUP($A128,InvDump[#All],MATCH(N$3,InvDump[#Headers],0),FALSE),"-")</f>
        <v>-</v>
      </c>
      <c r="O128" s="72" t="str">
        <f>IFERROR(VLOOKUP($A128,InvDump[#All],MATCH(O$3,InvDump[#Headers],0),FALSE),"-")</f>
        <v>-</v>
      </c>
      <c r="P128" s="73" t="str">
        <f>IFERROR(VLOOKUP($A128,InvDump[#All],MATCH(P$3,InvDump[#Headers],0),FALSE),"")</f>
        <v/>
      </c>
      <c r="Q128" s="73" t="str">
        <f>IFERROR(VLOOKUP($A128,InvDump[#All],MATCH(Q$3,InvDump[#Headers],0),FALSE),"")</f>
        <v/>
      </c>
      <c r="R128" s="73" t="str">
        <f>IFERROR(IF(VLOOKUP($A128,InvDump[#All],MATCH(R$3,InvDump[#Headers],0),FALSE)=0,"",VLOOKUP($A128,InvDump[#All],MATCH(R$3,InvDump[#Headers],0),FALSE)),"")</f>
        <v/>
      </c>
      <c r="S128" s="72" t="str">
        <f>IFERROR(IF(InvDump[[#This Row],[Annexure]]="Yes",VLOOKUP($A128,InvDump[#All],21,FALSE)&amp;"; "&amp;VLOOKUP($A128,InvDump[#All],23,FALSE),VLOOKUP($A128,InvDump[#All],21,FALSE)),"")</f>
        <v/>
      </c>
    </row>
    <row r="129" spans="2:19" ht="15" thickBot="1" x14ac:dyDescent="0.35">
      <c r="B129" s="69" t="str">
        <f>IFERROR(VLOOKUP($A129,InvDump[#All],MATCH(B$3,InvDump[#Headers],0),FALSE),"-")</f>
        <v>-</v>
      </c>
      <c r="C129" s="70" t="str">
        <f>IFERROR(VLOOKUP($A129,InvDump[#All],MATCH(C$3,InvDump[#Headers],0),FALSE),"-")</f>
        <v>-</v>
      </c>
      <c r="D129" s="69" t="str">
        <f>IFERROR(VLOOKUP($A129,InvDump[#All],MATCH(D$3,InvDump[#Headers],0),FALSE),"-")</f>
        <v>-</v>
      </c>
      <c r="E129" s="69" t="str">
        <f>IFERROR(VLOOKUP($A129,InvDump[#All],MATCH(E$3,InvDump[#Headers],0),FALSE),"-")</f>
        <v>-</v>
      </c>
      <c r="F129" s="69" t="str">
        <f>IFERROR(VLOOKUP($A129,InvDump[#All],MATCH(F$3,InvDump[#Headers],0),FALSE),"-")</f>
        <v>-</v>
      </c>
      <c r="G129" s="69" t="str">
        <f>IFERROR(VLOOKUP($A129,InvDump[#All],MATCH(G$3,InvDump[#Headers],0),FALSE),"-")</f>
        <v>-</v>
      </c>
      <c r="H129" s="74" t="str">
        <f>IFERROR(VLOOKUP(G129,CustomerData!$B$4:$D$13,3),"-")</f>
        <v>-</v>
      </c>
      <c r="I129" s="69" t="str">
        <f>IFERROR(VLOOKUP($A129,InvDump[#All],MATCH(I$3,InvDump[#Headers],0),FALSE),"-")</f>
        <v>-</v>
      </c>
      <c r="J129" s="69" t="str">
        <f>IFERROR(VLOOKUP($A129,InvDump[#All],MATCH(J$3,InvDump[#Headers],0),FALSE),"-")</f>
        <v>-</v>
      </c>
      <c r="K129" s="69" t="str">
        <f>IFERROR(VLOOKUP($A129,InvDump[#All],MATCH(K$3,InvDump[#Headers],0),FALSE),"-")</f>
        <v>-</v>
      </c>
      <c r="L129" s="72" t="str">
        <f>IFERROR(VLOOKUP($A129,InvDump[#All],MATCH(L$3,InvDump[#Headers],0),FALSE),"-")</f>
        <v>-</v>
      </c>
      <c r="M129" s="72" t="str">
        <f>IFERROR(VLOOKUP($A129,InvDump[#All],MATCH(M$3,InvDump[#Headers],0),FALSE),"-")</f>
        <v>-</v>
      </c>
      <c r="N129" s="72" t="str">
        <f>IFERROR(VLOOKUP($A129,InvDump[#All],MATCH(N$3,InvDump[#Headers],0),FALSE),"-")</f>
        <v>-</v>
      </c>
      <c r="O129" s="72" t="str">
        <f>IFERROR(VLOOKUP($A129,InvDump[#All],MATCH(O$3,InvDump[#Headers],0),FALSE),"-")</f>
        <v>-</v>
      </c>
      <c r="P129" s="73" t="str">
        <f>IFERROR(VLOOKUP($A129,InvDump[#All],MATCH(P$3,InvDump[#Headers],0),FALSE),"")</f>
        <v/>
      </c>
      <c r="Q129" s="73" t="str">
        <f>IFERROR(VLOOKUP($A129,InvDump[#All],MATCH(Q$3,InvDump[#Headers],0),FALSE),"")</f>
        <v/>
      </c>
      <c r="R129" s="73" t="str">
        <f>IFERROR(IF(VLOOKUP($A129,InvDump[#All],MATCH(R$3,InvDump[#Headers],0),FALSE)=0,"",VLOOKUP($A129,InvDump[#All],MATCH(R$3,InvDump[#Headers],0),FALSE)),"")</f>
        <v/>
      </c>
      <c r="S129" s="72" t="str">
        <f>IFERROR(IF(InvDump[[#This Row],[Annexure]]="Yes",VLOOKUP($A129,InvDump[#All],21,FALSE)&amp;"; "&amp;VLOOKUP($A129,InvDump[#All],23,FALSE),VLOOKUP($A129,InvDump[#All],21,FALSE)),"")</f>
        <v/>
      </c>
    </row>
    <row r="130" spans="2:19" ht="15" thickBot="1" x14ac:dyDescent="0.35">
      <c r="B130" s="69" t="str">
        <f>IFERROR(VLOOKUP($A130,InvDump[#All],MATCH(B$3,InvDump[#Headers],0),FALSE),"-")</f>
        <v>-</v>
      </c>
      <c r="C130" s="70" t="str">
        <f>IFERROR(VLOOKUP($A130,InvDump[#All],MATCH(C$3,InvDump[#Headers],0),FALSE),"-")</f>
        <v>-</v>
      </c>
      <c r="D130" s="69" t="str">
        <f>IFERROR(VLOOKUP($A130,InvDump[#All],MATCH(D$3,InvDump[#Headers],0),FALSE),"-")</f>
        <v>-</v>
      </c>
      <c r="E130" s="69" t="str">
        <f>IFERROR(VLOOKUP($A130,InvDump[#All],MATCH(E$3,InvDump[#Headers],0),FALSE),"-")</f>
        <v>-</v>
      </c>
      <c r="F130" s="69" t="str">
        <f>IFERROR(VLOOKUP($A130,InvDump[#All],MATCH(F$3,InvDump[#Headers],0),FALSE),"-")</f>
        <v>-</v>
      </c>
      <c r="G130" s="69" t="str">
        <f>IFERROR(VLOOKUP($A130,InvDump[#All],MATCH(G$3,InvDump[#Headers],0),FALSE),"-")</f>
        <v>-</v>
      </c>
      <c r="H130" s="74" t="str">
        <f>IFERROR(VLOOKUP(G130,CustomerData!$B$4:$D$13,3),"-")</f>
        <v>-</v>
      </c>
      <c r="I130" s="69" t="str">
        <f>IFERROR(VLOOKUP($A130,InvDump[#All],MATCH(I$3,InvDump[#Headers],0),FALSE),"-")</f>
        <v>-</v>
      </c>
      <c r="J130" s="69" t="str">
        <f>IFERROR(VLOOKUP($A130,InvDump[#All],MATCH(J$3,InvDump[#Headers],0),FALSE),"-")</f>
        <v>-</v>
      </c>
      <c r="K130" s="69" t="str">
        <f>IFERROR(VLOOKUP($A130,InvDump[#All],MATCH(K$3,InvDump[#Headers],0),FALSE),"-")</f>
        <v>-</v>
      </c>
      <c r="L130" s="72" t="str">
        <f>IFERROR(VLOOKUP($A130,InvDump[#All],MATCH(L$3,InvDump[#Headers],0),FALSE),"-")</f>
        <v>-</v>
      </c>
      <c r="M130" s="72" t="str">
        <f>IFERROR(VLOOKUP($A130,InvDump[#All],MATCH(M$3,InvDump[#Headers],0),FALSE),"-")</f>
        <v>-</v>
      </c>
      <c r="N130" s="72" t="str">
        <f>IFERROR(VLOOKUP($A130,InvDump[#All],MATCH(N$3,InvDump[#Headers],0),FALSE),"-")</f>
        <v>-</v>
      </c>
      <c r="O130" s="72" t="str">
        <f>IFERROR(VLOOKUP($A130,InvDump[#All],MATCH(O$3,InvDump[#Headers],0),FALSE),"-")</f>
        <v>-</v>
      </c>
      <c r="P130" s="73" t="str">
        <f>IFERROR(VLOOKUP($A130,InvDump[#All],MATCH(P$3,InvDump[#Headers],0),FALSE),"")</f>
        <v/>
      </c>
      <c r="Q130" s="73" t="str">
        <f>IFERROR(VLOOKUP($A130,InvDump[#All],MATCH(Q$3,InvDump[#Headers],0),FALSE),"")</f>
        <v/>
      </c>
      <c r="R130" s="73" t="str">
        <f>IFERROR(IF(VLOOKUP($A130,InvDump[#All],MATCH(R$3,InvDump[#Headers],0),FALSE)=0,"",VLOOKUP($A130,InvDump[#All],MATCH(R$3,InvDump[#Headers],0),FALSE)),"")</f>
        <v/>
      </c>
      <c r="S130" s="72" t="str">
        <f>IFERROR(IF(InvDump[[#This Row],[Annexure]]="Yes",VLOOKUP($A130,InvDump[#All],21,FALSE)&amp;"; "&amp;VLOOKUP($A130,InvDump[#All],23,FALSE),VLOOKUP($A130,InvDump[#All],21,FALSE)),"")</f>
        <v/>
      </c>
    </row>
    <row r="131" spans="2:19" ht="15" thickBot="1" x14ac:dyDescent="0.35">
      <c r="B131" s="69" t="str">
        <f>IFERROR(VLOOKUP($A131,InvDump[#All],MATCH(B$3,InvDump[#Headers],0),FALSE),"-")</f>
        <v>-</v>
      </c>
      <c r="C131" s="70" t="str">
        <f>IFERROR(VLOOKUP($A131,InvDump[#All],MATCH(C$3,InvDump[#Headers],0),FALSE),"-")</f>
        <v>-</v>
      </c>
      <c r="D131" s="69" t="str">
        <f>IFERROR(VLOOKUP($A131,InvDump[#All],MATCH(D$3,InvDump[#Headers],0),FALSE),"-")</f>
        <v>-</v>
      </c>
      <c r="E131" s="69" t="str">
        <f>IFERROR(VLOOKUP($A131,InvDump[#All],MATCH(E$3,InvDump[#Headers],0),FALSE),"-")</f>
        <v>-</v>
      </c>
      <c r="F131" s="69" t="str">
        <f>IFERROR(VLOOKUP($A131,InvDump[#All],MATCH(F$3,InvDump[#Headers],0),FALSE),"-")</f>
        <v>-</v>
      </c>
      <c r="G131" s="69" t="str">
        <f>IFERROR(VLOOKUP($A131,InvDump[#All],MATCH(G$3,InvDump[#Headers],0),FALSE),"-")</f>
        <v>-</v>
      </c>
      <c r="H131" s="74" t="str">
        <f>IFERROR(VLOOKUP(G131,CustomerData!$B$4:$D$13,3),"-")</f>
        <v>-</v>
      </c>
      <c r="I131" s="69" t="str">
        <f>IFERROR(VLOOKUP($A131,InvDump[#All],MATCH(I$3,InvDump[#Headers],0),FALSE),"-")</f>
        <v>-</v>
      </c>
      <c r="J131" s="69" t="str">
        <f>IFERROR(VLOOKUP($A131,InvDump[#All],MATCH(J$3,InvDump[#Headers],0),FALSE),"-")</f>
        <v>-</v>
      </c>
      <c r="K131" s="69" t="str">
        <f>IFERROR(VLOOKUP($A131,InvDump[#All],MATCH(K$3,InvDump[#Headers],0),FALSE),"-")</f>
        <v>-</v>
      </c>
      <c r="L131" s="72" t="str">
        <f>IFERROR(VLOOKUP($A131,InvDump[#All],MATCH(L$3,InvDump[#Headers],0),FALSE),"-")</f>
        <v>-</v>
      </c>
      <c r="M131" s="72" t="str">
        <f>IFERROR(VLOOKUP($A131,InvDump[#All],MATCH(M$3,InvDump[#Headers],0),FALSE),"-")</f>
        <v>-</v>
      </c>
      <c r="N131" s="72" t="str">
        <f>IFERROR(VLOOKUP($A131,InvDump[#All],MATCH(N$3,InvDump[#Headers],0),FALSE),"-")</f>
        <v>-</v>
      </c>
      <c r="O131" s="72" t="str">
        <f>IFERROR(VLOOKUP($A131,InvDump[#All],MATCH(O$3,InvDump[#Headers],0),FALSE),"-")</f>
        <v>-</v>
      </c>
      <c r="P131" s="73" t="str">
        <f>IFERROR(VLOOKUP($A131,InvDump[#All],MATCH(P$3,InvDump[#Headers],0),FALSE),"")</f>
        <v/>
      </c>
      <c r="Q131" s="73" t="str">
        <f>IFERROR(VLOOKUP($A131,InvDump[#All],MATCH(Q$3,InvDump[#Headers],0),FALSE),"")</f>
        <v/>
      </c>
      <c r="R131" s="73" t="str">
        <f>IFERROR(IF(VLOOKUP($A131,InvDump[#All],MATCH(R$3,InvDump[#Headers],0),FALSE)=0,"",VLOOKUP($A131,InvDump[#All],MATCH(R$3,InvDump[#Headers],0),FALSE)),"")</f>
        <v/>
      </c>
      <c r="S131" s="72" t="str">
        <f>IFERROR(IF(InvDump[[#This Row],[Annexure]]="Yes",VLOOKUP($A131,InvDump[#All],21,FALSE)&amp;"; "&amp;VLOOKUP($A131,InvDump[#All],23,FALSE),VLOOKUP($A131,InvDump[#All],21,FALSE)),"")</f>
        <v/>
      </c>
    </row>
    <row r="132" spans="2:19" ht="15" thickBot="1" x14ac:dyDescent="0.35">
      <c r="B132" s="69" t="str">
        <f>IFERROR(VLOOKUP($A132,InvDump[#All],MATCH(B$3,InvDump[#Headers],0),FALSE),"-")</f>
        <v>-</v>
      </c>
      <c r="C132" s="70" t="str">
        <f>IFERROR(VLOOKUP($A132,InvDump[#All],MATCH(C$3,InvDump[#Headers],0),FALSE),"-")</f>
        <v>-</v>
      </c>
      <c r="D132" s="69" t="str">
        <f>IFERROR(VLOOKUP($A132,InvDump[#All],MATCH(D$3,InvDump[#Headers],0),FALSE),"-")</f>
        <v>-</v>
      </c>
      <c r="E132" s="69" t="str">
        <f>IFERROR(VLOOKUP($A132,InvDump[#All],MATCH(E$3,InvDump[#Headers],0),FALSE),"-")</f>
        <v>-</v>
      </c>
      <c r="F132" s="69" t="str">
        <f>IFERROR(VLOOKUP($A132,InvDump[#All],MATCH(F$3,InvDump[#Headers],0),FALSE),"-")</f>
        <v>-</v>
      </c>
      <c r="G132" s="69" t="str">
        <f>IFERROR(VLOOKUP($A132,InvDump[#All],MATCH(G$3,InvDump[#Headers],0),FALSE),"-")</f>
        <v>-</v>
      </c>
      <c r="H132" s="74" t="str">
        <f>IFERROR(VLOOKUP(G132,CustomerData!$B$4:$D$13,3),"-")</f>
        <v>-</v>
      </c>
      <c r="I132" s="69" t="str">
        <f>IFERROR(VLOOKUP($A132,InvDump[#All],MATCH(I$3,InvDump[#Headers],0),FALSE),"-")</f>
        <v>-</v>
      </c>
      <c r="J132" s="69" t="str">
        <f>IFERROR(VLOOKUP($A132,InvDump[#All],MATCH(J$3,InvDump[#Headers],0),FALSE),"-")</f>
        <v>-</v>
      </c>
      <c r="K132" s="69" t="str">
        <f>IFERROR(VLOOKUP($A132,InvDump[#All],MATCH(K$3,InvDump[#Headers],0),FALSE),"-")</f>
        <v>-</v>
      </c>
      <c r="L132" s="72" t="str">
        <f>IFERROR(VLOOKUP($A132,InvDump[#All],MATCH(L$3,InvDump[#Headers],0),FALSE),"-")</f>
        <v>-</v>
      </c>
      <c r="M132" s="72" t="str">
        <f>IFERROR(VLOOKUP($A132,InvDump[#All],MATCH(M$3,InvDump[#Headers],0),FALSE),"-")</f>
        <v>-</v>
      </c>
      <c r="N132" s="72" t="str">
        <f>IFERROR(VLOOKUP($A132,InvDump[#All],MATCH(N$3,InvDump[#Headers],0),FALSE),"-")</f>
        <v>-</v>
      </c>
      <c r="O132" s="72" t="str">
        <f>IFERROR(VLOOKUP($A132,InvDump[#All],MATCH(O$3,InvDump[#Headers],0),FALSE),"-")</f>
        <v>-</v>
      </c>
      <c r="P132" s="73" t="str">
        <f>IFERROR(VLOOKUP($A132,InvDump[#All],MATCH(P$3,InvDump[#Headers],0),FALSE),"")</f>
        <v/>
      </c>
      <c r="Q132" s="73" t="str">
        <f>IFERROR(VLOOKUP($A132,InvDump[#All],MATCH(Q$3,InvDump[#Headers],0),FALSE),"")</f>
        <v/>
      </c>
      <c r="R132" s="73" t="str">
        <f>IFERROR(IF(VLOOKUP($A132,InvDump[#All],MATCH(R$3,InvDump[#Headers],0),FALSE)=0,"",VLOOKUP($A132,InvDump[#All],MATCH(R$3,InvDump[#Headers],0),FALSE)),"")</f>
        <v/>
      </c>
      <c r="S132" s="72" t="str">
        <f>IFERROR(IF(InvDump[[#This Row],[Annexure]]="Yes",VLOOKUP($A132,InvDump[#All],21,FALSE)&amp;"; "&amp;VLOOKUP($A132,InvDump[#All],23,FALSE),VLOOKUP($A132,InvDump[#All],21,FALSE)),"")</f>
        <v/>
      </c>
    </row>
    <row r="133" spans="2:19" ht="15" thickBot="1" x14ac:dyDescent="0.35">
      <c r="B133" s="69" t="str">
        <f>IFERROR(VLOOKUP($A133,InvDump[#All],MATCH(B$3,InvDump[#Headers],0),FALSE),"-")</f>
        <v>-</v>
      </c>
      <c r="C133" s="70" t="str">
        <f>IFERROR(VLOOKUP($A133,InvDump[#All],MATCH(C$3,InvDump[#Headers],0),FALSE),"-")</f>
        <v>-</v>
      </c>
      <c r="D133" s="69" t="str">
        <f>IFERROR(VLOOKUP($A133,InvDump[#All],MATCH(D$3,InvDump[#Headers],0),FALSE),"-")</f>
        <v>-</v>
      </c>
      <c r="E133" s="69" t="str">
        <f>IFERROR(VLOOKUP($A133,InvDump[#All],MATCH(E$3,InvDump[#Headers],0),FALSE),"-")</f>
        <v>-</v>
      </c>
      <c r="F133" s="69" t="str">
        <f>IFERROR(VLOOKUP($A133,InvDump[#All],MATCH(F$3,InvDump[#Headers],0),FALSE),"-")</f>
        <v>-</v>
      </c>
      <c r="G133" s="69" t="str">
        <f>IFERROR(VLOOKUP($A133,InvDump[#All],MATCH(G$3,InvDump[#Headers],0),FALSE),"-")</f>
        <v>-</v>
      </c>
      <c r="H133" s="74" t="str">
        <f>IFERROR(VLOOKUP(G133,CustomerData!$B$4:$D$13,3),"-")</f>
        <v>-</v>
      </c>
      <c r="I133" s="69" t="str">
        <f>IFERROR(VLOOKUP($A133,InvDump[#All],MATCH(I$3,InvDump[#Headers],0),FALSE),"-")</f>
        <v>-</v>
      </c>
      <c r="J133" s="69" t="str">
        <f>IFERROR(VLOOKUP($A133,InvDump[#All],MATCH(J$3,InvDump[#Headers],0),FALSE),"-")</f>
        <v>-</v>
      </c>
      <c r="K133" s="69" t="str">
        <f>IFERROR(VLOOKUP($A133,InvDump[#All],MATCH(K$3,InvDump[#Headers],0),FALSE),"-")</f>
        <v>-</v>
      </c>
      <c r="L133" s="72" t="str">
        <f>IFERROR(VLOOKUP($A133,InvDump[#All],MATCH(L$3,InvDump[#Headers],0),FALSE),"-")</f>
        <v>-</v>
      </c>
      <c r="M133" s="72" t="str">
        <f>IFERROR(VLOOKUP($A133,InvDump[#All],MATCH(M$3,InvDump[#Headers],0),FALSE),"-")</f>
        <v>-</v>
      </c>
      <c r="N133" s="72" t="str">
        <f>IFERROR(VLOOKUP($A133,InvDump[#All],MATCH(N$3,InvDump[#Headers],0),FALSE),"-")</f>
        <v>-</v>
      </c>
      <c r="O133" s="72" t="str">
        <f>IFERROR(VLOOKUP($A133,InvDump[#All],MATCH(O$3,InvDump[#Headers],0),FALSE),"-")</f>
        <v>-</v>
      </c>
      <c r="P133" s="73" t="str">
        <f>IFERROR(VLOOKUP($A133,InvDump[#All],MATCH(P$3,InvDump[#Headers],0),FALSE),"")</f>
        <v/>
      </c>
      <c r="Q133" s="73" t="str">
        <f>IFERROR(VLOOKUP($A133,InvDump[#All],MATCH(Q$3,InvDump[#Headers],0),FALSE),"")</f>
        <v/>
      </c>
      <c r="R133" s="73" t="str">
        <f>IFERROR(IF(VLOOKUP($A133,InvDump[#All],MATCH(R$3,InvDump[#Headers],0),FALSE)=0,"",VLOOKUP($A133,InvDump[#All],MATCH(R$3,InvDump[#Headers],0),FALSE)),"")</f>
        <v/>
      </c>
      <c r="S133" s="72" t="str">
        <f>IFERROR(IF(InvDump[[#This Row],[Annexure]]="Yes",VLOOKUP($A133,InvDump[#All],21,FALSE)&amp;"; "&amp;VLOOKUP($A133,InvDump[#All],23,FALSE),VLOOKUP($A133,InvDump[#All],21,FALSE)),"")</f>
        <v/>
      </c>
    </row>
    <row r="134" spans="2:19" ht="15" thickBot="1" x14ac:dyDescent="0.35">
      <c r="B134" s="69" t="str">
        <f>IFERROR(VLOOKUP($A134,InvDump[#All],MATCH(B$3,InvDump[#Headers],0),FALSE),"-")</f>
        <v>-</v>
      </c>
      <c r="C134" s="70" t="str">
        <f>IFERROR(VLOOKUP($A134,InvDump[#All],MATCH(C$3,InvDump[#Headers],0),FALSE),"-")</f>
        <v>-</v>
      </c>
      <c r="D134" s="69" t="str">
        <f>IFERROR(VLOOKUP($A134,InvDump[#All],MATCH(D$3,InvDump[#Headers],0),FALSE),"-")</f>
        <v>-</v>
      </c>
      <c r="E134" s="69" t="str">
        <f>IFERROR(VLOOKUP($A134,InvDump[#All],MATCH(E$3,InvDump[#Headers],0),FALSE),"-")</f>
        <v>-</v>
      </c>
      <c r="F134" s="69" t="str">
        <f>IFERROR(VLOOKUP($A134,InvDump[#All],MATCH(F$3,InvDump[#Headers],0),FALSE),"-")</f>
        <v>-</v>
      </c>
      <c r="G134" s="69" t="str">
        <f>IFERROR(VLOOKUP($A134,InvDump[#All],MATCH(G$3,InvDump[#Headers],0),FALSE),"-")</f>
        <v>-</v>
      </c>
      <c r="H134" s="74" t="str">
        <f>IFERROR(VLOOKUP(G134,CustomerData!$B$4:$D$13,3),"-")</f>
        <v>-</v>
      </c>
      <c r="I134" s="69" t="str">
        <f>IFERROR(VLOOKUP($A134,InvDump[#All],MATCH(I$3,InvDump[#Headers],0),FALSE),"-")</f>
        <v>-</v>
      </c>
      <c r="J134" s="69" t="str">
        <f>IFERROR(VLOOKUP($A134,InvDump[#All],MATCH(J$3,InvDump[#Headers],0),FALSE),"-")</f>
        <v>-</v>
      </c>
      <c r="K134" s="69" t="str">
        <f>IFERROR(VLOOKUP($A134,InvDump[#All],MATCH(K$3,InvDump[#Headers],0),FALSE),"-")</f>
        <v>-</v>
      </c>
      <c r="L134" s="72" t="str">
        <f>IFERROR(VLOOKUP($A134,InvDump[#All],MATCH(L$3,InvDump[#Headers],0),FALSE),"-")</f>
        <v>-</v>
      </c>
      <c r="M134" s="72" t="str">
        <f>IFERROR(VLOOKUP($A134,InvDump[#All],MATCH(M$3,InvDump[#Headers],0),FALSE),"-")</f>
        <v>-</v>
      </c>
      <c r="N134" s="72" t="str">
        <f>IFERROR(VLOOKUP($A134,InvDump[#All],MATCH(N$3,InvDump[#Headers],0),FALSE),"-")</f>
        <v>-</v>
      </c>
      <c r="O134" s="72" t="str">
        <f>IFERROR(VLOOKUP($A134,InvDump[#All],MATCH(O$3,InvDump[#Headers],0),FALSE),"-")</f>
        <v>-</v>
      </c>
      <c r="P134" s="73" t="str">
        <f>IFERROR(VLOOKUP($A134,InvDump[#All],MATCH(P$3,InvDump[#Headers],0),FALSE),"")</f>
        <v/>
      </c>
      <c r="Q134" s="73" t="str">
        <f>IFERROR(VLOOKUP($A134,InvDump[#All],MATCH(Q$3,InvDump[#Headers],0),FALSE),"")</f>
        <v/>
      </c>
      <c r="R134" s="73" t="str">
        <f>IFERROR(IF(VLOOKUP($A134,InvDump[#All],MATCH(R$3,InvDump[#Headers],0),FALSE)=0,"",VLOOKUP($A134,InvDump[#All],MATCH(R$3,InvDump[#Headers],0),FALSE)),"")</f>
        <v/>
      </c>
      <c r="S134" s="72" t="str">
        <f>IFERROR(IF(InvDump[[#This Row],[Annexure]]="Yes",VLOOKUP($A134,InvDump[#All],21,FALSE)&amp;"; "&amp;VLOOKUP($A134,InvDump[#All],23,FALSE),VLOOKUP($A134,InvDump[#All],21,FALSE)),"")</f>
        <v/>
      </c>
    </row>
    <row r="135" spans="2:19" ht="15" thickBot="1" x14ac:dyDescent="0.35">
      <c r="B135" s="69" t="str">
        <f>IFERROR(VLOOKUP($A135,InvDump[#All],MATCH(B$3,InvDump[#Headers],0),FALSE),"-")</f>
        <v>-</v>
      </c>
      <c r="C135" s="70" t="str">
        <f>IFERROR(VLOOKUP($A135,InvDump[#All],MATCH(C$3,InvDump[#Headers],0),FALSE),"-")</f>
        <v>-</v>
      </c>
      <c r="D135" s="69" t="str">
        <f>IFERROR(VLOOKUP($A135,InvDump[#All],MATCH(D$3,InvDump[#Headers],0),FALSE),"-")</f>
        <v>-</v>
      </c>
      <c r="E135" s="69" t="str">
        <f>IFERROR(VLOOKUP($A135,InvDump[#All],MATCH(E$3,InvDump[#Headers],0),FALSE),"-")</f>
        <v>-</v>
      </c>
      <c r="F135" s="69" t="str">
        <f>IFERROR(VLOOKUP($A135,InvDump[#All],MATCH(F$3,InvDump[#Headers],0),FALSE),"-")</f>
        <v>-</v>
      </c>
      <c r="G135" s="69" t="str">
        <f>IFERROR(VLOOKUP($A135,InvDump[#All],MATCH(G$3,InvDump[#Headers],0),FALSE),"-")</f>
        <v>-</v>
      </c>
      <c r="H135" s="74" t="str">
        <f>IFERROR(VLOOKUP(G135,CustomerData!$B$4:$D$13,3),"-")</f>
        <v>-</v>
      </c>
      <c r="I135" s="69" t="str">
        <f>IFERROR(VLOOKUP($A135,InvDump[#All],MATCH(I$3,InvDump[#Headers],0),FALSE),"-")</f>
        <v>-</v>
      </c>
      <c r="J135" s="69" t="str">
        <f>IFERROR(VLOOKUP($A135,InvDump[#All],MATCH(J$3,InvDump[#Headers],0),FALSE),"-")</f>
        <v>-</v>
      </c>
      <c r="K135" s="69" t="str">
        <f>IFERROR(VLOOKUP($A135,InvDump[#All],MATCH(K$3,InvDump[#Headers],0),FALSE),"-")</f>
        <v>-</v>
      </c>
      <c r="L135" s="72" t="str">
        <f>IFERROR(VLOOKUP($A135,InvDump[#All],MATCH(L$3,InvDump[#Headers],0),FALSE),"-")</f>
        <v>-</v>
      </c>
      <c r="M135" s="72" t="str">
        <f>IFERROR(VLOOKUP($A135,InvDump[#All],MATCH(M$3,InvDump[#Headers],0),FALSE),"-")</f>
        <v>-</v>
      </c>
      <c r="N135" s="72" t="str">
        <f>IFERROR(VLOOKUP($A135,InvDump[#All],MATCH(N$3,InvDump[#Headers],0),FALSE),"-")</f>
        <v>-</v>
      </c>
      <c r="O135" s="72" t="str">
        <f>IFERROR(VLOOKUP($A135,InvDump[#All],MATCH(O$3,InvDump[#Headers],0),FALSE),"-")</f>
        <v>-</v>
      </c>
      <c r="P135" s="73" t="str">
        <f>IFERROR(VLOOKUP($A135,InvDump[#All],MATCH(P$3,InvDump[#Headers],0),FALSE),"")</f>
        <v/>
      </c>
      <c r="Q135" s="73" t="str">
        <f>IFERROR(VLOOKUP($A135,InvDump[#All],MATCH(Q$3,InvDump[#Headers],0),FALSE),"")</f>
        <v/>
      </c>
      <c r="R135" s="73" t="str">
        <f>IFERROR(IF(VLOOKUP($A135,InvDump[#All],MATCH(R$3,InvDump[#Headers],0),FALSE)=0,"",VLOOKUP($A135,InvDump[#All],MATCH(R$3,InvDump[#Headers],0),FALSE)),"")</f>
        <v/>
      </c>
      <c r="S135" s="72" t="str">
        <f>IFERROR(IF(InvDump[[#This Row],[Annexure]]="Yes",VLOOKUP($A135,InvDump[#All],21,FALSE)&amp;"; "&amp;VLOOKUP($A135,InvDump[#All],23,FALSE),VLOOKUP($A135,InvDump[#All],21,FALSE)),"")</f>
        <v/>
      </c>
    </row>
    <row r="136" spans="2:19" ht="15" thickBot="1" x14ac:dyDescent="0.35">
      <c r="B136" s="69" t="str">
        <f>IFERROR(VLOOKUP($A136,InvDump[#All],MATCH(B$3,InvDump[#Headers],0),FALSE),"-")</f>
        <v>-</v>
      </c>
      <c r="C136" s="70" t="str">
        <f>IFERROR(VLOOKUP($A136,InvDump[#All],MATCH(C$3,InvDump[#Headers],0),FALSE),"-")</f>
        <v>-</v>
      </c>
      <c r="D136" s="69" t="str">
        <f>IFERROR(VLOOKUP($A136,InvDump[#All],MATCH(D$3,InvDump[#Headers],0),FALSE),"-")</f>
        <v>-</v>
      </c>
      <c r="E136" s="69" t="str">
        <f>IFERROR(VLOOKUP($A136,InvDump[#All],MATCH(E$3,InvDump[#Headers],0),FALSE),"-")</f>
        <v>-</v>
      </c>
      <c r="F136" s="69" t="str">
        <f>IFERROR(VLOOKUP($A136,InvDump[#All],MATCH(F$3,InvDump[#Headers],0),FALSE),"-")</f>
        <v>-</v>
      </c>
      <c r="G136" s="69" t="str">
        <f>IFERROR(VLOOKUP($A136,InvDump[#All],MATCH(G$3,InvDump[#Headers],0),FALSE),"-")</f>
        <v>-</v>
      </c>
      <c r="H136" s="74" t="str">
        <f>IFERROR(VLOOKUP(G136,CustomerData!$B$4:$D$13,3),"-")</f>
        <v>-</v>
      </c>
      <c r="I136" s="69" t="str">
        <f>IFERROR(VLOOKUP($A136,InvDump[#All],MATCH(I$3,InvDump[#Headers],0),FALSE),"-")</f>
        <v>-</v>
      </c>
      <c r="J136" s="69" t="str">
        <f>IFERROR(VLOOKUP($A136,InvDump[#All],MATCH(J$3,InvDump[#Headers],0),FALSE),"-")</f>
        <v>-</v>
      </c>
      <c r="K136" s="69" t="str">
        <f>IFERROR(VLOOKUP($A136,InvDump[#All],MATCH(K$3,InvDump[#Headers],0),FALSE),"-")</f>
        <v>-</v>
      </c>
      <c r="L136" s="72" t="str">
        <f>IFERROR(VLOOKUP($A136,InvDump[#All],MATCH(L$3,InvDump[#Headers],0),FALSE),"-")</f>
        <v>-</v>
      </c>
      <c r="M136" s="72" t="str">
        <f>IFERROR(VLOOKUP($A136,InvDump[#All],MATCH(M$3,InvDump[#Headers],0),FALSE),"-")</f>
        <v>-</v>
      </c>
      <c r="N136" s="72" t="str">
        <f>IFERROR(VLOOKUP($A136,InvDump[#All],MATCH(N$3,InvDump[#Headers],0),FALSE),"-")</f>
        <v>-</v>
      </c>
      <c r="O136" s="72" t="str">
        <f>IFERROR(VLOOKUP($A136,InvDump[#All],MATCH(O$3,InvDump[#Headers],0),FALSE),"-")</f>
        <v>-</v>
      </c>
      <c r="P136" s="73" t="str">
        <f>IFERROR(VLOOKUP($A136,InvDump[#All],MATCH(P$3,InvDump[#Headers],0),FALSE),"")</f>
        <v/>
      </c>
      <c r="Q136" s="73" t="str">
        <f>IFERROR(VLOOKUP($A136,InvDump[#All],MATCH(Q$3,InvDump[#Headers],0),FALSE),"")</f>
        <v/>
      </c>
      <c r="R136" s="73" t="str">
        <f>IFERROR(IF(VLOOKUP($A136,InvDump[#All],MATCH(R$3,InvDump[#Headers],0),FALSE)=0,"",VLOOKUP($A136,InvDump[#All],MATCH(R$3,InvDump[#Headers],0),FALSE)),"")</f>
        <v/>
      </c>
      <c r="S136" s="72" t="str">
        <f>IFERROR(IF(InvDump[[#This Row],[Annexure]]="Yes",VLOOKUP($A136,InvDump[#All],21,FALSE)&amp;"; "&amp;VLOOKUP($A136,InvDump[#All],23,FALSE),VLOOKUP($A136,InvDump[#All],21,FALSE)),"")</f>
        <v/>
      </c>
    </row>
    <row r="137" spans="2:19" ht="15" thickBot="1" x14ac:dyDescent="0.35">
      <c r="B137" s="69" t="str">
        <f>IFERROR(VLOOKUP($A137,InvDump[#All],MATCH(B$3,InvDump[#Headers],0),FALSE),"-")</f>
        <v>-</v>
      </c>
      <c r="C137" s="70" t="str">
        <f>IFERROR(VLOOKUP($A137,InvDump[#All],MATCH(C$3,InvDump[#Headers],0),FALSE),"-")</f>
        <v>-</v>
      </c>
      <c r="D137" s="69" t="str">
        <f>IFERROR(VLOOKUP($A137,InvDump[#All],MATCH(D$3,InvDump[#Headers],0),FALSE),"-")</f>
        <v>-</v>
      </c>
      <c r="E137" s="69" t="str">
        <f>IFERROR(VLOOKUP($A137,InvDump[#All],MATCH(E$3,InvDump[#Headers],0),FALSE),"-")</f>
        <v>-</v>
      </c>
      <c r="F137" s="69" t="str">
        <f>IFERROR(VLOOKUP($A137,InvDump[#All],MATCH(F$3,InvDump[#Headers],0),FALSE),"-")</f>
        <v>-</v>
      </c>
      <c r="G137" s="69" t="str">
        <f>IFERROR(VLOOKUP($A137,InvDump[#All],MATCH(G$3,InvDump[#Headers],0),FALSE),"-")</f>
        <v>-</v>
      </c>
      <c r="H137" s="74" t="str">
        <f>IFERROR(VLOOKUP(G137,CustomerData!$B$4:$D$13,3),"-")</f>
        <v>-</v>
      </c>
      <c r="I137" s="69" t="str">
        <f>IFERROR(VLOOKUP($A137,InvDump[#All],MATCH(I$3,InvDump[#Headers],0),FALSE),"-")</f>
        <v>-</v>
      </c>
      <c r="J137" s="69" t="str">
        <f>IFERROR(VLOOKUP($A137,InvDump[#All],MATCH(J$3,InvDump[#Headers],0),FALSE),"-")</f>
        <v>-</v>
      </c>
      <c r="K137" s="69" t="str">
        <f>IFERROR(VLOOKUP($A137,InvDump[#All],MATCH(K$3,InvDump[#Headers],0),FALSE),"-")</f>
        <v>-</v>
      </c>
      <c r="L137" s="72" t="str">
        <f>IFERROR(VLOOKUP($A137,InvDump[#All],MATCH(L$3,InvDump[#Headers],0),FALSE),"-")</f>
        <v>-</v>
      </c>
      <c r="M137" s="72" t="str">
        <f>IFERROR(VLOOKUP($A137,InvDump[#All],MATCH(M$3,InvDump[#Headers],0),FALSE),"-")</f>
        <v>-</v>
      </c>
      <c r="N137" s="72" t="str">
        <f>IFERROR(VLOOKUP($A137,InvDump[#All],MATCH(N$3,InvDump[#Headers],0),FALSE),"-")</f>
        <v>-</v>
      </c>
      <c r="O137" s="72" t="str">
        <f>IFERROR(VLOOKUP($A137,InvDump[#All],MATCH(O$3,InvDump[#Headers],0),FALSE),"-")</f>
        <v>-</v>
      </c>
      <c r="P137" s="73" t="str">
        <f>IFERROR(VLOOKUP($A137,InvDump[#All],MATCH(P$3,InvDump[#Headers],0),FALSE),"")</f>
        <v/>
      </c>
      <c r="Q137" s="73" t="str">
        <f>IFERROR(VLOOKUP($A137,InvDump[#All],MATCH(Q$3,InvDump[#Headers],0),FALSE),"")</f>
        <v/>
      </c>
      <c r="R137" s="73" t="str">
        <f>IFERROR(IF(VLOOKUP($A137,InvDump[#All],MATCH(R$3,InvDump[#Headers],0),FALSE)=0,"",VLOOKUP($A137,InvDump[#All],MATCH(R$3,InvDump[#Headers],0),FALSE)),"")</f>
        <v/>
      </c>
      <c r="S137" s="72" t="str">
        <f>IFERROR(IF(InvDump[[#This Row],[Annexure]]="Yes",VLOOKUP($A137,InvDump[#All],21,FALSE)&amp;"; "&amp;VLOOKUP($A137,InvDump[#All],23,FALSE),VLOOKUP($A137,InvDump[#All],21,FALSE)),"")</f>
        <v/>
      </c>
    </row>
    <row r="138" spans="2:19" ht="15" thickBot="1" x14ac:dyDescent="0.35">
      <c r="B138" s="69" t="str">
        <f>IFERROR(VLOOKUP($A138,InvDump[#All],MATCH(B$3,InvDump[#Headers],0),FALSE),"-")</f>
        <v>-</v>
      </c>
      <c r="C138" s="70" t="str">
        <f>IFERROR(VLOOKUP($A138,InvDump[#All],MATCH(C$3,InvDump[#Headers],0),FALSE),"-")</f>
        <v>-</v>
      </c>
      <c r="D138" s="69" t="str">
        <f>IFERROR(VLOOKUP($A138,InvDump[#All],MATCH(D$3,InvDump[#Headers],0),FALSE),"-")</f>
        <v>-</v>
      </c>
      <c r="E138" s="69" t="str">
        <f>IFERROR(VLOOKUP($A138,InvDump[#All],MATCH(E$3,InvDump[#Headers],0),FALSE),"-")</f>
        <v>-</v>
      </c>
      <c r="F138" s="69" t="str">
        <f>IFERROR(VLOOKUP($A138,InvDump[#All],MATCH(F$3,InvDump[#Headers],0),FALSE),"-")</f>
        <v>-</v>
      </c>
      <c r="G138" s="69" t="str">
        <f>IFERROR(VLOOKUP($A138,InvDump[#All],MATCH(G$3,InvDump[#Headers],0),FALSE),"-")</f>
        <v>-</v>
      </c>
      <c r="H138" s="74" t="str">
        <f>IFERROR(VLOOKUP(G138,CustomerData!$B$4:$D$13,3),"-")</f>
        <v>-</v>
      </c>
      <c r="I138" s="69" t="str">
        <f>IFERROR(VLOOKUP($A138,InvDump[#All],MATCH(I$3,InvDump[#Headers],0),FALSE),"-")</f>
        <v>-</v>
      </c>
      <c r="J138" s="69" t="str">
        <f>IFERROR(VLOOKUP($A138,InvDump[#All],MATCH(J$3,InvDump[#Headers],0),FALSE),"-")</f>
        <v>-</v>
      </c>
      <c r="K138" s="69" t="str">
        <f>IFERROR(VLOOKUP($A138,InvDump[#All],MATCH(K$3,InvDump[#Headers],0),FALSE),"-")</f>
        <v>-</v>
      </c>
      <c r="L138" s="72" t="str">
        <f>IFERROR(VLOOKUP($A138,InvDump[#All],MATCH(L$3,InvDump[#Headers],0),FALSE),"-")</f>
        <v>-</v>
      </c>
      <c r="M138" s="72" t="str">
        <f>IFERROR(VLOOKUP($A138,InvDump[#All],MATCH(M$3,InvDump[#Headers],0),FALSE),"-")</f>
        <v>-</v>
      </c>
      <c r="N138" s="72" t="str">
        <f>IFERROR(VLOOKUP($A138,InvDump[#All],MATCH(N$3,InvDump[#Headers],0),FALSE),"-")</f>
        <v>-</v>
      </c>
      <c r="O138" s="72" t="str">
        <f>IFERROR(VLOOKUP($A138,InvDump[#All],MATCH(O$3,InvDump[#Headers],0),FALSE),"-")</f>
        <v>-</v>
      </c>
      <c r="P138" s="73" t="str">
        <f>IFERROR(VLOOKUP($A138,InvDump[#All],MATCH(P$3,InvDump[#Headers],0),FALSE),"")</f>
        <v/>
      </c>
      <c r="Q138" s="73" t="str">
        <f>IFERROR(VLOOKUP($A138,InvDump[#All],MATCH(Q$3,InvDump[#Headers],0),FALSE),"")</f>
        <v/>
      </c>
      <c r="R138" s="73" t="str">
        <f>IFERROR(IF(VLOOKUP($A138,InvDump[#All],MATCH(R$3,InvDump[#Headers],0),FALSE)=0,"",VLOOKUP($A138,InvDump[#All],MATCH(R$3,InvDump[#Headers],0),FALSE)),"")</f>
        <v/>
      </c>
      <c r="S138" s="72" t="str">
        <f>IFERROR(IF(InvDump[[#This Row],[Annexure]]="Yes",VLOOKUP($A138,InvDump[#All],21,FALSE)&amp;"; "&amp;VLOOKUP($A138,InvDump[#All],23,FALSE),VLOOKUP($A138,InvDump[#All],21,FALSE)),"")</f>
        <v/>
      </c>
    </row>
    <row r="139" spans="2:19" ht="15" thickBot="1" x14ac:dyDescent="0.35">
      <c r="B139" s="69" t="str">
        <f>IFERROR(VLOOKUP($A139,InvDump[#All],MATCH(B$3,InvDump[#Headers],0),FALSE),"-")</f>
        <v>-</v>
      </c>
      <c r="C139" s="70" t="str">
        <f>IFERROR(VLOOKUP($A139,InvDump[#All],MATCH(C$3,InvDump[#Headers],0),FALSE),"-")</f>
        <v>-</v>
      </c>
      <c r="D139" s="69" t="str">
        <f>IFERROR(VLOOKUP($A139,InvDump[#All],MATCH(D$3,InvDump[#Headers],0),FALSE),"-")</f>
        <v>-</v>
      </c>
      <c r="E139" s="69" t="str">
        <f>IFERROR(VLOOKUP($A139,InvDump[#All],MATCH(E$3,InvDump[#Headers],0),FALSE),"-")</f>
        <v>-</v>
      </c>
      <c r="F139" s="69" t="str">
        <f>IFERROR(VLOOKUP($A139,InvDump[#All],MATCH(F$3,InvDump[#Headers],0),FALSE),"-")</f>
        <v>-</v>
      </c>
      <c r="G139" s="69" t="str">
        <f>IFERROR(VLOOKUP($A139,InvDump[#All],MATCH(G$3,InvDump[#Headers],0),FALSE),"-")</f>
        <v>-</v>
      </c>
      <c r="H139" s="74" t="str">
        <f>IFERROR(VLOOKUP(G139,CustomerData!$B$4:$D$13,3),"-")</f>
        <v>-</v>
      </c>
      <c r="I139" s="69" t="str">
        <f>IFERROR(VLOOKUP($A139,InvDump[#All],MATCH(I$3,InvDump[#Headers],0),FALSE),"-")</f>
        <v>-</v>
      </c>
      <c r="J139" s="69" t="str">
        <f>IFERROR(VLOOKUP($A139,InvDump[#All],MATCH(J$3,InvDump[#Headers],0),FALSE),"-")</f>
        <v>-</v>
      </c>
      <c r="K139" s="69" t="str">
        <f>IFERROR(VLOOKUP($A139,InvDump[#All],MATCH(K$3,InvDump[#Headers],0),FALSE),"-")</f>
        <v>-</v>
      </c>
      <c r="L139" s="72" t="str">
        <f>IFERROR(VLOOKUP($A139,InvDump[#All],MATCH(L$3,InvDump[#Headers],0),FALSE),"-")</f>
        <v>-</v>
      </c>
      <c r="M139" s="72" t="str">
        <f>IFERROR(VLOOKUP($A139,InvDump[#All],MATCH(M$3,InvDump[#Headers],0),FALSE),"-")</f>
        <v>-</v>
      </c>
      <c r="N139" s="72" t="str">
        <f>IFERROR(VLOOKUP($A139,InvDump[#All],MATCH(N$3,InvDump[#Headers],0),FALSE),"-")</f>
        <v>-</v>
      </c>
      <c r="O139" s="72" t="str">
        <f>IFERROR(VLOOKUP($A139,InvDump[#All],MATCH(O$3,InvDump[#Headers],0),FALSE),"-")</f>
        <v>-</v>
      </c>
      <c r="P139" s="73" t="str">
        <f>IFERROR(VLOOKUP($A139,InvDump[#All],MATCH(P$3,InvDump[#Headers],0),FALSE),"")</f>
        <v/>
      </c>
      <c r="Q139" s="73" t="str">
        <f>IFERROR(VLOOKUP($A139,InvDump[#All],MATCH(Q$3,InvDump[#Headers],0),FALSE),"")</f>
        <v/>
      </c>
      <c r="R139" s="73" t="str">
        <f>IFERROR(IF(VLOOKUP($A139,InvDump[#All],MATCH(R$3,InvDump[#Headers],0),FALSE)=0,"",VLOOKUP($A139,InvDump[#All],MATCH(R$3,InvDump[#Headers],0),FALSE)),"")</f>
        <v/>
      </c>
      <c r="S139" s="72" t="str">
        <f>IFERROR(IF(InvDump[[#This Row],[Annexure]]="Yes",VLOOKUP($A139,InvDump[#All],21,FALSE)&amp;"; "&amp;VLOOKUP($A139,InvDump[#All],23,FALSE),VLOOKUP($A139,InvDump[#All],21,FALSE)),"")</f>
        <v/>
      </c>
    </row>
    <row r="140" spans="2:19" ht="15" thickBot="1" x14ac:dyDescent="0.35">
      <c r="B140" s="69" t="str">
        <f>IFERROR(VLOOKUP($A140,InvDump[#All],MATCH(B$3,InvDump[#Headers],0),FALSE),"-")</f>
        <v>-</v>
      </c>
      <c r="C140" s="70" t="str">
        <f>IFERROR(VLOOKUP($A140,InvDump[#All],MATCH(C$3,InvDump[#Headers],0),FALSE),"-")</f>
        <v>-</v>
      </c>
      <c r="D140" s="69" t="str">
        <f>IFERROR(VLOOKUP($A140,InvDump[#All],MATCH(D$3,InvDump[#Headers],0),FALSE),"-")</f>
        <v>-</v>
      </c>
      <c r="E140" s="69" t="str">
        <f>IFERROR(VLOOKUP($A140,InvDump[#All],MATCH(E$3,InvDump[#Headers],0),FALSE),"-")</f>
        <v>-</v>
      </c>
      <c r="F140" s="69" t="str">
        <f>IFERROR(VLOOKUP($A140,InvDump[#All],MATCH(F$3,InvDump[#Headers],0),FALSE),"-")</f>
        <v>-</v>
      </c>
      <c r="G140" s="69" t="str">
        <f>IFERROR(VLOOKUP($A140,InvDump[#All],MATCH(G$3,InvDump[#Headers],0),FALSE),"-")</f>
        <v>-</v>
      </c>
      <c r="H140" s="74" t="str">
        <f>IFERROR(VLOOKUP(G140,CustomerData!$B$4:$D$13,3),"-")</f>
        <v>-</v>
      </c>
      <c r="I140" s="69" t="str">
        <f>IFERROR(VLOOKUP($A140,InvDump[#All],MATCH(I$3,InvDump[#Headers],0),FALSE),"-")</f>
        <v>-</v>
      </c>
      <c r="J140" s="69" t="str">
        <f>IFERROR(VLOOKUP($A140,InvDump[#All],MATCH(J$3,InvDump[#Headers],0),FALSE),"-")</f>
        <v>-</v>
      </c>
      <c r="K140" s="69" t="str">
        <f>IFERROR(VLOOKUP($A140,InvDump[#All],MATCH(K$3,InvDump[#Headers],0),FALSE),"-")</f>
        <v>-</v>
      </c>
      <c r="L140" s="72" t="str">
        <f>IFERROR(VLOOKUP($A140,InvDump[#All],MATCH(L$3,InvDump[#Headers],0),FALSE),"-")</f>
        <v>-</v>
      </c>
      <c r="M140" s="72" t="str">
        <f>IFERROR(VLOOKUP($A140,InvDump[#All],MATCH(M$3,InvDump[#Headers],0),FALSE),"-")</f>
        <v>-</v>
      </c>
      <c r="N140" s="72" t="str">
        <f>IFERROR(VLOOKUP($A140,InvDump[#All],MATCH(N$3,InvDump[#Headers],0),FALSE),"-")</f>
        <v>-</v>
      </c>
      <c r="O140" s="72" t="str">
        <f>IFERROR(VLOOKUP($A140,InvDump[#All],MATCH(O$3,InvDump[#Headers],0),FALSE),"-")</f>
        <v>-</v>
      </c>
      <c r="P140" s="73" t="str">
        <f>IFERROR(VLOOKUP($A140,InvDump[#All],MATCH(P$3,InvDump[#Headers],0),FALSE),"")</f>
        <v/>
      </c>
      <c r="Q140" s="73" t="str">
        <f>IFERROR(VLOOKUP($A140,InvDump[#All],MATCH(Q$3,InvDump[#Headers],0),FALSE),"")</f>
        <v/>
      </c>
      <c r="R140" s="73" t="str">
        <f>IFERROR(IF(VLOOKUP($A140,InvDump[#All],MATCH(R$3,InvDump[#Headers],0),FALSE)=0,"",VLOOKUP($A140,InvDump[#All],MATCH(R$3,InvDump[#Headers],0),FALSE)),"")</f>
        <v/>
      </c>
      <c r="S140" s="72" t="str">
        <f>IFERROR(IF(InvDump[[#This Row],[Annexure]]="Yes",VLOOKUP($A140,InvDump[#All],21,FALSE)&amp;"; "&amp;VLOOKUP($A140,InvDump[#All],23,FALSE),VLOOKUP($A140,InvDump[#All],21,FALSE)),"")</f>
        <v/>
      </c>
    </row>
    <row r="141" spans="2:19" ht="15" thickBot="1" x14ac:dyDescent="0.35">
      <c r="B141" s="69" t="str">
        <f>IFERROR(VLOOKUP($A141,InvDump[#All],MATCH(B$3,InvDump[#Headers],0),FALSE),"-")</f>
        <v>-</v>
      </c>
      <c r="C141" s="70" t="str">
        <f>IFERROR(VLOOKUP($A141,InvDump[#All],MATCH(C$3,InvDump[#Headers],0),FALSE),"-")</f>
        <v>-</v>
      </c>
      <c r="D141" s="69" t="str">
        <f>IFERROR(VLOOKUP($A141,InvDump[#All],MATCH(D$3,InvDump[#Headers],0),FALSE),"-")</f>
        <v>-</v>
      </c>
      <c r="E141" s="69" t="str">
        <f>IFERROR(VLOOKUP($A141,InvDump[#All],MATCH(E$3,InvDump[#Headers],0),FALSE),"-")</f>
        <v>-</v>
      </c>
      <c r="F141" s="69" t="str">
        <f>IFERROR(VLOOKUP($A141,InvDump[#All],MATCH(F$3,InvDump[#Headers],0),FALSE),"-")</f>
        <v>-</v>
      </c>
      <c r="G141" s="69" t="str">
        <f>IFERROR(VLOOKUP($A141,InvDump[#All],MATCH(G$3,InvDump[#Headers],0),FALSE),"-")</f>
        <v>-</v>
      </c>
      <c r="H141" s="74" t="str">
        <f>IFERROR(VLOOKUP(G141,CustomerData!$B$4:$D$13,3),"-")</f>
        <v>-</v>
      </c>
      <c r="I141" s="69" t="str">
        <f>IFERROR(VLOOKUP($A141,InvDump[#All],MATCH(I$3,InvDump[#Headers],0),FALSE),"-")</f>
        <v>-</v>
      </c>
      <c r="J141" s="69" t="str">
        <f>IFERROR(VLOOKUP($A141,InvDump[#All],MATCH(J$3,InvDump[#Headers],0),FALSE),"-")</f>
        <v>-</v>
      </c>
      <c r="K141" s="69" t="str">
        <f>IFERROR(VLOOKUP($A141,InvDump[#All],MATCH(K$3,InvDump[#Headers],0),FALSE),"-")</f>
        <v>-</v>
      </c>
      <c r="L141" s="72" t="str">
        <f>IFERROR(VLOOKUP($A141,InvDump[#All],MATCH(L$3,InvDump[#Headers],0),FALSE),"-")</f>
        <v>-</v>
      </c>
      <c r="M141" s="72" t="str">
        <f>IFERROR(VLOOKUP($A141,InvDump[#All],MATCH(M$3,InvDump[#Headers],0),FALSE),"-")</f>
        <v>-</v>
      </c>
      <c r="N141" s="72" t="str">
        <f>IFERROR(VLOOKUP($A141,InvDump[#All],MATCH(N$3,InvDump[#Headers],0),FALSE),"-")</f>
        <v>-</v>
      </c>
      <c r="O141" s="72" t="str">
        <f>IFERROR(VLOOKUP($A141,InvDump[#All],MATCH(O$3,InvDump[#Headers],0),FALSE),"-")</f>
        <v>-</v>
      </c>
      <c r="P141" s="73" t="str">
        <f>IFERROR(VLOOKUP($A141,InvDump[#All],MATCH(P$3,InvDump[#Headers],0),FALSE),"")</f>
        <v/>
      </c>
      <c r="Q141" s="73" t="str">
        <f>IFERROR(VLOOKUP($A141,InvDump[#All],MATCH(Q$3,InvDump[#Headers],0),FALSE),"")</f>
        <v/>
      </c>
      <c r="R141" s="73" t="str">
        <f>IFERROR(IF(VLOOKUP($A141,InvDump[#All],MATCH(R$3,InvDump[#Headers],0),FALSE)=0,"",VLOOKUP($A141,InvDump[#All],MATCH(R$3,InvDump[#Headers],0),FALSE)),"")</f>
        <v/>
      </c>
      <c r="S141" s="72" t="str">
        <f>IFERROR(IF(InvDump[[#This Row],[Annexure]]="Yes",VLOOKUP($A141,InvDump[#All],21,FALSE)&amp;"; "&amp;VLOOKUP($A141,InvDump[#All],23,FALSE),VLOOKUP($A141,InvDump[#All],21,FALSE)),"")</f>
        <v/>
      </c>
    </row>
    <row r="142" spans="2:19" ht="15" thickBot="1" x14ac:dyDescent="0.35">
      <c r="B142" s="69" t="str">
        <f>IFERROR(VLOOKUP($A142,InvDump[#All],MATCH(B$3,InvDump[#Headers],0),FALSE),"-")</f>
        <v>-</v>
      </c>
      <c r="C142" s="70" t="str">
        <f>IFERROR(VLOOKUP($A142,InvDump[#All],MATCH(C$3,InvDump[#Headers],0),FALSE),"-")</f>
        <v>-</v>
      </c>
      <c r="D142" s="69" t="str">
        <f>IFERROR(VLOOKUP($A142,InvDump[#All],MATCH(D$3,InvDump[#Headers],0),FALSE),"-")</f>
        <v>-</v>
      </c>
      <c r="E142" s="69" t="str">
        <f>IFERROR(VLOOKUP($A142,InvDump[#All],MATCH(E$3,InvDump[#Headers],0),FALSE),"-")</f>
        <v>-</v>
      </c>
      <c r="F142" s="69" t="str">
        <f>IFERROR(VLOOKUP($A142,InvDump[#All],MATCH(F$3,InvDump[#Headers],0),FALSE),"-")</f>
        <v>-</v>
      </c>
      <c r="G142" s="69" t="str">
        <f>IFERROR(VLOOKUP($A142,InvDump[#All],MATCH(G$3,InvDump[#Headers],0),FALSE),"-")</f>
        <v>-</v>
      </c>
      <c r="H142" s="74" t="str">
        <f>IFERROR(VLOOKUP(G142,CustomerData!$B$4:$D$13,3),"-")</f>
        <v>-</v>
      </c>
      <c r="I142" s="69" t="str">
        <f>IFERROR(VLOOKUP($A142,InvDump[#All],MATCH(I$3,InvDump[#Headers],0),FALSE),"-")</f>
        <v>-</v>
      </c>
      <c r="J142" s="69" t="str">
        <f>IFERROR(VLOOKUP($A142,InvDump[#All],MATCH(J$3,InvDump[#Headers],0),FALSE),"-")</f>
        <v>-</v>
      </c>
      <c r="K142" s="69" t="str">
        <f>IFERROR(VLOOKUP($A142,InvDump[#All],MATCH(K$3,InvDump[#Headers],0),FALSE),"-")</f>
        <v>-</v>
      </c>
      <c r="L142" s="72" t="str">
        <f>IFERROR(VLOOKUP($A142,InvDump[#All],MATCH(L$3,InvDump[#Headers],0),FALSE),"-")</f>
        <v>-</v>
      </c>
      <c r="M142" s="72" t="str">
        <f>IFERROR(VLOOKUP($A142,InvDump[#All],MATCH(M$3,InvDump[#Headers],0),FALSE),"-")</f>
        <v>-</v>
      </c>
      <c r="N142" s="72" t="str">
        <f>IFERROR(VLOOKUP($A142,InvDump[#All],MATCH(N$3,InvDump[#Headers],0),FALSE),"-")</f>
        <v>-</v>
      </c>
      <c r="O142" s="72" t="str">
        <f>IFERROR(VLOOKUP($A142,InvDump[#All],MATCH(O$3,InvDump[#Headers],0),FALSE),"-")</f>
        <v>-</v>
      </c>
      <c r="P142" s="73" t="str">
        <f>IFERROR(VLOOKUP($A142,InvDump[#All],MATCH(P$3,InvDump[#Headers],0),FALSE),"")</f>
        <v/>
      </c>
      <c r="Q142" s="73" t="str">
        <f>IFERROR(VLOOKUP($A142,InvDump[#All],MATCH(Q$3,InvDump[#Headers],0),FALSE),"")</f>
        <v/>
      </c>
      <c r="R142" s="73" t="str">
        <f>IFERROR(IF(VLOOKUP($A142,InvDump[#All],MATCH(R$3,InvDump[#Headers],0),FALSE)=0,"",VLOOKUP($A142,InvDump[#All],MATCH(R$3,InvDump[#Headers],0),FALSE)),"")</f>
        <v/>
      </c>
      <c r="S142" s="72" t="str">
        <f>IFERROR(IF(InvDump[[#This Row],[Annexure]]="Yes",VLOOKUP($A142,InvDump[#All],21,FALSE)&amp;"; "&amp;VLOOKUP($A142,InvDump[#All],23,FALSE),VLOOKUP($A142,InvDump[#All],21,FALSE)),"")</f>
        <v/>
      </c>
    </row>
    <row r="143" spans="2:19" ht="15" thickBot="1" x14ac:dyDescent="0.35">
      <c r="B143" s="69" t="str">
        <f>IFERROR(VLOOKUP($A143,InvDump[#All],MATCH(B$3,InvDump[#Headers],0),FALSE),"-")</f>
        <v>-</v>
      </c>
      <c r="C143" s="70" t="str">
        <f>IFERROR(VLOOKUP($A143,InvDump[#All],MATCH(C$3,InvDump[#Headers],0),FALSE),"-")</f>
        <v>-</v>
      </c>
      <c r="D143" s="69" t="str">
        <f>IFERROR(VLOOKUP($A143,InvDump[#All],MATCH(D$3,InvDump[#Headers],0),FALSE),"-")</f>
        <v>-</v>
      </c>
      <c r="E143" s="69" t="str">
        <f>IFERROR(VLOOKUP($A143,InvDump[#All],MATCH(E$3,InvDump[#Headers],0),FALSE),"-")</f>
        <v>-</v>
      </c>
      <c r="F143" s="69" t="str">
        <f>IFERROR(VLOOKUP($A143,InvDump[#All],MATCH(F$3,InvDump[#Headers],0),FALSE),"-")</f>
        <v>-</v>
      </c>
      <c r="G143" s="69" t="str">
        <f>IFERROR(VLOOKUP($A143,InvDump[#All],MATCH(G$3,InvDump[#Headers],0),FALSE),"-")</f>
        <v>-</v>
      </c>
      <c r="H143" s="74" t="str">
        <f>IFERROR(VLOOKUP(G143,CustomerData!$B$4:$D$13,3),"-")</f>
        <v>-</v>
      </c>
      <c r="I143" s="69" t="str">
        <f>IFERROR(VLOOKUP($A143,InvDump[#All],MATCH(I$3,InvDump[#Headers],0),FALSE),"-")</f>
        <v>-</v>
      </c>
      <c r="J143" s="69" t="str">
        <f>IFERROR(VLOOKUP($A143,InvDump[#All],MATCH(J$3,InvDump[#Headers],0),FALSE),"-")</f>
        <v>-</v>
      </c>
      <c r="K143" s="69" t="str">
        <f>IFERROR(VLOOKUP($A143,InvDump[#All],MATCH(K$3,InvDump[#Headers],0),FALSE),"-")</f>
        <v>-</v>
      </c>
      <c r="L143" s="72" t="str">
        <f>IFERROR(VLOOKUP($A143,InvDump[#All],MATCH(L$3,InvDump[#Headers],0),FALSE),"-")</f>
        <v>-</v>
      </c>
      <c r="M143" s="72" t="str">
        <f>IFERROR(VLOOKUP($A143,InvDump[#All],MATCH(M$3,InvDump[#Headers],0),FALSE),"-")</f>
        <v>-</v>
      </c>
      <c r="N143" s="72" t="str">
        <f>IFERROR(VLOOKUP($A143,InvDump[#All],MATCH(N$3,InvDump[#Headers],0),FALSE),"-")</f>
        <v>-</v>
      </c>
      <c r="O143" s="72" t="str">
        <f>IFERROR(VLOOKUP($A143,InvDump[#All],MATCH(O$3,InvDump[#Headers],0),FALSE),"-")</f>
        <v>-</v>
      </c>
      <c r="P143" s="73" t="str">
        <f>IFERROR(VLOOKUP($A143,InvDump[#All],MATCH(P$3,InvDump[#Headers],0),FALSE),"")</f>
        <v/>
      </c>
      <c r="Q143" s="73" t="str">
        <f>IFERROR(VLOOKUP($A143,InvDump[#All],MATCH(Q$3,InvDump[#Headers],0),FALSE),"")</f>
        <v/>
      </c>
      <c r="R143" s="73" t="str">
        <f>IFERROR(IF(VLOOKUP($A143,InvDump[#All],MATCH(R$3,InvDump[#Headers],0),FALSE)=0,"",VLOOKUP($A143,InvDump[#All],MATCH(R$3,InvDump[#Headers],0),FALSE)),"")</f>
        <v/>
      </c>
      <c r="S143" s="72" t="str">
        <f>IFERROR(IF(InvDump[[#This Row],[Annexure]]="Yes",VLOOKUP($A143,InvDump[#All],21,FALSE)&amp;"; "&amp;VLOOKUP($A143,InvDump[#All],23,FALSE),VLOOKUP($A143,InvDump[#All],21,FALSE)),"")</f>
        <v/>
      </c>
    </row>
    <row r="144" spans="2:19" ht="15" thickBot="1" x14ac:dyDescent="0.35">
      <c r="B144" s="69" t="str">
        <f>IFERROR(VLOOKUP($A144,InvDump[#All],MATCH(B$3,InvDump[#Headers],0),FALSE),"-")</f>
        <v>-</v>
      </c>
      <c r="C144" s="70" t="str">
        <f>IFERROR(VLOOKUP($A144,InvDump[#All],MATCH(C$3,InvDump[#Headers],0),FALSE),"-")</f>
        <v>-</v>
      </c>
      <c r="D144" s="69" t="str">
        <f>IFERROR(VLOOKUP($A144,InvDump[#All],MATCH(D$3,InvDump[#Headers],0),FALSE),"-")</f>
        <v>-</v>
      </c>
      <c r="E144" s="69" t="str">
        <f>IFERROR(VLOOKUP($A144,InvDump[#All],MATCH(E$3,InvDump[#Headers],0),FALSE),"-")</f>
        <v>-</v>
      </c>
      <c r="F144" s="69" t="str">
        <f>IFERROR(VLOOKUP($A144,InvDump[#All],MATCH(F$3,InvDump[#Headers],0),FALSE),"-")</f>
        <v>-</v>
      </c>
      <c r="G144" s="69" t="str">
        <f>IFERROR(VLOOKUP($A144,InvDump[#All],MATCH(G$3,InvDump[#Headers],0),FALSE),"-")</f>
        <v>-</v>
      </c>
      <c r="H144" s="74" t="str">
        <f>IFERROR(VLOOKUP(G144,CustomerData!$B$4:$D$13,3),"-")</f>
        <v>-</v>
      </c>
      <c r="I144" s="69" t="str">
        <f>IFERROR(VLOOKUP($A144,InvDump[#All],MATCH(I$3,InvDump[#Headers],0),FALSE),"-")</f>
        <v>-</v>
      </c>
      <c r="J144" s="69" t="str">
        <f>IFERROR(VLOOKUP($A144,InvDump[#All],MATCH(J$3,InvDump[#Headers],0),FALSE),"-")</f>
        <v>-</v>
      </c>
      <c r="K144" s="69" t="str">
        <f>IFERROR(VLOOKUP($A144,InvDump[#All],MATCH(K$3,InvDump[#Headers],0),FALSE),"-")</f>
        <v>-</v>
      </c>
      <c r="L144" s="72" t="str">
        <f>IFERROR(VLOOKUP($A144,InvDump[#All],MATCH(L$3,InvDump[#Headers],0),FALSE),"-")</f>
        <v>-</v>
      </c>
      <c r="M144" s="72" t="str">
        <f>IFERROR(VLOOKUP($A144,InvDump[#All],MATCH(M$3,InvDump[#Headers],0),FALSE),"-")</f>
        <v>-</v>
      </c>
      <c r="N144" s="72" t="str">
        <f>IFERROR(VLOOKUP($A144,InvDump[#All],MATCH(N$3,InvDump[#Headers],0),FALSE),"-")</f>
        <v>-</v>
      </c>
      <c r="O144" s="72" t="str">
        <f>IFERROR(VLOOKUP($A144,InvDump[#All],MATCH(O$3,InvDump[#Headers],0),FALSE),"-")</f>
        <v>-</v>
      </c>
      <c r="P144" s="73" t="str">
        <f>IFERROR(VLOOKUP($A144,InvDump[#All],MATCH(P$3,InvDump[#Headers],0),FALSE),"")</f>
        <v/>
      </c>
      <c r="Q144" s="73" t="str">
        <f>IFERROR(VLOOKUP($A144,InvDump[#All],MATCH(Q$3,InvDump[#Headers],0),FALSE),"")</f>
        <v/>
      </c>
      <c r="R144" s="73" t="str">
        <f>IFERROR(IF(VLOOKUP($A144,InvDump[#All],MATCH(R$3,InvDump[#Headers],0),FALSE)=0,"",VLOOKUP($A144,InvDump[#All],MATCH(R$3,InvDump[#Headers],0),FALSE)),"")</f>
        <v/>
      </c>
      <c r="S144" s="75" t="str">
        <f>IFERROR(IF(InvDump[[#This Row],[Annexure]]="Yes",VLOOKUP($A144,InvDump[#All],21,FALSE)&amp;"; "&amp;VLOOKUP($A144,InvDump[#All],23,FALSE),VLOOKUP($A144,InvDump[#All],21,FALSE)),"")</f>
        <v/>
      </c>
    </row>
    <row r="145" spans="2:19" ht="15" thickBot="1" x14ac:dyDescent="0.35">
      <c r="B145" s="69" t="str">
        <f>IFERROR(VLOOKUP($A145,InvDump[#All],MATCH(B$3,InvDump[#Headers],0),FALSE),"-")</f>
        <v>-</v>
      </c>
      <c r="C145" s="70" t="str">
        <f>IFERROR(VLOOKUP($A145,InvDump[#All],MATCH(C$3,InvDump[#Headers],0),FALSE),"-")</f>
        <v>-</v>
      </c>
      <c r="D145" s="69" t="str">
        <f>IFERROR(VLOOKUP($A145,InvDump[#All],MATCH(D$3,InvDump[#Headers],0),FALSE),"-")</f>
        <v>-</v>
      </c>
      <c r="E145" s="69" t="str">
        <f>IFERROR(VLOOKUP($A145,InvDump[#All],MATCH(E$3,InvDump[#Headers],0),FALSE),"-")</f>
        <v>-</v>
      </c>
      <c r="F145" s="69" t="str">
        <f>IFERROR(VLOOKUP($A145,InvDump[#All],MATCH(F$3,InvDump[#Headers],0),FALSE),"-")</f>
        <v>-</v>
      </c>
      <c r="G145" s="69" t="str">
        <f>IFERROR(VLOOKUP($A145,InvDump[#All],MATCH(G$3,InvDump[#Headers],0),FALSE),"-")</f>
        <v>-</v>
      </c>
      <c r="H145" s="74" t="str">
        <f>IFERROR(VLOOKUP(G145,CustomerData!$B$4:$D$13,3),"-")</f>
        <v>-</v>
      </c>
      <c r="I145" s="69" t="str">
        <f>IFERROR(VLOOKUP($A145,InvDump[#All],MATCH(I$3,InvDump[#Headers],0),FALSE),"-")</f>
        <v>-</v>
      </c>
      <c r="J145" s="69" t="str">
        <f>IFERROR(VLOOKUP($A145,InvDump[#All],MATCH(J$3,InvDump[#Headers],0),FALSE),"-")</f>
        <v>-</v>
      </c>
      <c r="K145" s="69" t="str">
        <f>IFERROR(VLOOKUP($A145,InvDump[#All],MATCH(K$3,InvDump[#Headers],0),FALSE),"-")</f>
        <v>-</v>
      </c>
      <c r="L145" s="72" t="str">
        <f>IFERROR(VLOOKUP($A145,InvDump[#All],MATCH(L$3,InvDump[#Headers],0),FALSE),"-")</f>
        <v>-</v>
      </c>
      <c r="M145" s="72" t="str">
        <f>IFERROR(VLOOKUP($A145,InvDump[#All],MATCH(M$3,InvDump[#Headers],0),FALSE),"-")</f>
        <v>-</v>
      </c>
      <c r="N145" s="72" t="str">
        <f>IFERROR(VLOOKUP($A145,InvDump[#All],MATCH(N$3,InvDump[#Headers],0),FALSE),"-")</f>
        <v>-</v>
      </c>
      <c r="O145" s="72" t="str">
        <f>IFERROR(VLOOKUP($A145,InvDump[#All],MATCH(O$3,InvDump[#Headers],0),FALSE),"-")</f>
        <v>-</v>
      </c>
      <c r="P145" s="73" t="str">
        <f>IFERROR(VLOOKUP($A145,InvDump[#All],MATCH(P$3,InvDump[#Headers],0),FALSE),"")</f>
        <v/>
      </c>
      <c r="Q145" s="73" t="str">
        <f>IFERROR(VLOOKUP($A145,InvDump[#All],MATCH(Q$3,InvDump[#Headers],0),FALSE),"")</f>
        <v/>
      </c>
      <c r="R145" s="73" t="str">
        <f>IFERROR(IF(VLOOKUP($A145,InvDump[#All],MATCH(R$3,InvDump[#Headers],0),FALSE)=0,"",VLOOKUP($A145,InvDump[#All],MATCH(R$3,InvDump[#Headers],0),FALSE)),"")</f>
        <v/>
      </c>
      <c r="S145" s="75" t="str">
        <f>IFERROR(IF(InvDump[[#This Row],[Annexure]]="Yes",VLOOKUP($A145,InvDump[#All],21,FALSE)&amp;"; "&amp;VLOOKUP($A145,InvDump[#All],23,FALSE),VLOOKUP($A145,InvDump[#All],21,FALSE)),"")</f>
        <v/>
      </c>
    </row>
    <row r="146" spans="2:19" ht="15" thickBot="1" x14ac:dyDescent="0.35">
      <c r="B146" s="69" t="str">
        <f>IFERROR(VLOOKUP($A146,InvDump[#All],MATCH(B$3,InvDump[#Headers],0),FALSE),"-")</f>
        <v>-</v>
      </c>
      <c r="C146" s="70" t="str">
        <f>IFERROR(VLOOKUP($A146,InvDump[#All],MATCH(C$3,InvDump[#Headers],0),FALSE),"-")</f>
        <v>-</v>
      </c>
      <c r="D146" s="69" t="str">
        <f>IFERROR(VLOOKUP($A146,InvDump[#All],MATCH(D$3,InvDump[#Headers],0),FALSE),"-")</f>
        <v>-</v>
      </c>
      <c r="E146" s="69" t="str">
        <f>IFERROR(VLOOKUP($A146,InvDump[#All],MATCH(E$3,InvDump[#Headers],0),FALSE),"-")</f>
        <v>-</v>
      </c>
      <c r="F146" s="69" t="str">
        <f>IFERROR(VLOOKUP($A146,InvDump[#All],MATCH(F$3,InvDump[#Headers],0),FALSE),"-")</f>
        <v>-</v>
      </c>
      <c r="G146" s="69" t="str">
        <f>IFERROR(VLOOKUP($A146,InvDump[#All],MATCH(G$3,InvDump[#Headers],0),FALSE),"-")</f>
        <v>-</v>
      </c>
      <c r="H146" s="74" t="str">
        <f>IFERROR(VLOOKUP(G146,CustomerData!$B$4:$D$13,3),"-")</f>
        <v>-</v>
      </c>
      <c r="I146" s="69" t="str">
        <f>IFERROR(VLOOKUP($A146,InvDump[#All],MATCH(I$3,InvDump[#Headers],0),FALSE),"-")</f>
        <v>-</v>
      </c>
      <c r="J146" s="69" t="str">
        <f>IFERROR(VLOOKUP($A146,InvDump[#All],MATCH(J$3,InvDump[#Headers],0),FALSE),"-")</f>
        <v>-</v>
      </c>
      <c r="K146" s="69" t="str">
        <f>IFERROR(VLOOKUP($A146,InvDump[#All],MATCH(K$3,InvDump[#Headers],0),FALSE),"-")</f>
        <v>-</v>
      </c>
      <c r="L146" s="72" t="str">
        <f>IFERROR(VLOOKUP($A146,InvDump[#All],MATCH(L$3,InvDump[#Headers],0),FALSE),"-")</f>
        <v>-</v>
      </c>
      <c r="M146" s="72" t="str">
        <f>IFERROR(VLOOKUP($A146,InvDump[#All],MATCH(M$3,InvDump[#Headers],0),FALSE),"-")</f>
        <v>-</v>
      </c>
      <c r="N146" s="72" t="str">
        <f>IFERROR(VLOOKUP($A146,InvDump[#All],MATCH(N$3,InvDump[#Headers],0),FALSE),"-")</f>
        <v>-</v>
      </c>
      <c r="O146" s="72" t="str">
        <f>IFERROR(VLOOKUP($A146,InvDump[#All],MATCH(O$3,InvDump[#Headers],0),FALSE),"-")</f>
        <v>-</v>
      </c>
      <c r="P146" s="73" t="str">
        <f>IFERROR(VLOOKUP($A146,InvDump[#All],MATCH(P$3,InvDump[#Headers],0),FALSE),"")</f>
        <v/>
      </c>
      <c r="Q146" s="73" t="str">
        <f>IFERROR(VLOOKUP($A146,InvDump[#All],MATCH(Q$3,InvDump[#Headers],0),FALSE),"")</f>
        <v/>
      </c>
      <c r="R146" s="73" t="str">
        <f>IFERROR(IF(VLOOKUP($A146,InvDump[#All],MATCH(R$3,InvDump[#Headers],0),FALSE)=0,"",VLOOKUP($A146,InvDump[#All],MATCH(R$3,InvDump[#Headers],0),FALSE)),"")</f>
        <v/>
      </c>
      <c r="S146" s="75" t="str">
        <f>IFERROR(IF(InvDump[[#This Row],[Annexure]]="Yes",VLOOKUP($A146,InvDump[#All],21,FALSE)&amp;"; "&amp;VLOOKUP($A146,InvDump[#All],23,FALSE),VLOOKUP($A146,InvDump[#All],21,FALSE)),"")</f>
        <v/>
      </c>
    </row>
    <row r="147" spans="2:19" ht="15" thickBot="1" x14ac:dyDescent="0.35">
      <c r="B147" s="69" t="str">
        <f>IFERROR(VLOOKUP($A147,InvDump[#All],MATCH(B$3,InvDump[#Headers],0),FALSE),"-")</f>
        <v>-</v>
      </c>
      <c r="C147" s="70" t="str">
        <f>IFERROR(VLOOKUP($A147,InvDump[#All],MATCH(C$3,InvDump[#Headers],0),FALSE),"-")</f>
        <v>-</v>
      </c>
      <c r="D147" s="69" t="str">
        <f>IFERROR(VLOOKUP($A147,InvDump[#All],MATCH(D$3,InvDump[#Headers],0),FALSE),"-")</f>
        <v>-</v>
      </c>
      <c r="E147" s="69" t="str">
        <f>IFERROR(VLOOKUP($A147,InvDump[#All],MATCH(E$3,InvDump[#Headers],0),FALSE),"-")</f>
        <v>-</v>
      </c>
      <c r="F147" s="69" t="str">
        <f>IFERROR(VLOOKUP($A147,InvDump[#All],MATCH(F$3,InvDump[#Headers],0),FALSE),"-")</f>
        <v>-</v>
      </c>
      <c r="G147" s="69" t="str">
        <f>IFERROR(VLOOKUP($A147,InvDump[#All],MATCH(G$3,InvDump[#Headers],0),FALSE),"-")</f>
        <v>-</v>
      </c>
      <c r="H147" s="74" t="str">
        <f>IFERROR(VLOOKUP(G147,CustomerData!$B$4:$D$13,3),"-")</f>
        <v>-</v>
      </c>
      <c r="I147" s="69" t="str">
        <f>IFERROR(VLOOKUP($A147,InvDump[#All],MATCH(I$3,InvDump[#Headers],0),FALSE),"-")</f>
        <v>-</v>
      </c>
      <c r="J147" s="69" t="str">
        <f>IFERROR(VLOOKUP($A147,InvDump[#All],MATCH(J$3,InvDump[#Headers],0),FALSE),"-")</f>
        <v>-</v>
      </c>
      <c r="K147" s="69" t="str">
        <f>IFERROR(VLOOKUP($A147,InvDump[#All],MATCH(K$3,InvDump[#Headers],0),FALSE),"-")</f>
        <v>-</v>
      </c>
      <c r="L147" s="72" t="str">
        <f>IFERROR(VLOOKUP($A147,InvDump[#All],MATCH(L$3,InvDump[#Headers],0),FALSE),"-")</f>
        <v>-</v>
      </c>
      <c r="M147" s="72" t="str">
        <f>IFERROR(VLOOKUP($A147,InvDump[#All],MATCH(M$3,InvDump[#Headers],0),FALSE),"-")</f>
        <v>-</v>
      </c>
      <c r="N147" s="72" t="str">
        <f>IFERROR(VLOOKUP($A147,InvDump[#All],MATCH(N$3,InvDump[#Headers],0),FALSE),"-")</f>
        <v>-</v>
      </c>
      <c r="O147" s="72" t="str">
        <f>IFERROR(VLOOKUP($A147,InvDump[#All],MATCH(O$3,InvDump[#Headers],0),FALSE),"-")</f>
        <v>-</v>
      </c>
      <c r="P147" s="73" t="str">
        <f>IFERROR(VLOOKUP($A147,InvDump[#All],MATCH(P$3,InvDump[#Headers],0),FALSE),"")</f>
        <v/>
      </c>
      <c r="Q147" s="73" t="str">
        <f>IFERROR(VLOOKUP($A147,InvDump[#All],MATCH(Q$3,InvDump[#Headers],0),FALSE),"")</f>
        <v/>
      </c>
      <c r="R147" s="73" t="str">
        <f>IFERROR(IF(VLOOKUP($A147,InvDump[#All],MATCH(R$3,InvDump[#Headers],0),FALSE)=0,"",VLOOKUP($A147,InvDump[#All],MATCH(R$3,InvDump[#Headers],0),FALSE)),"")</f>
        <v/>
      </c>
      <c r="S147" s="75" t="str">
        <f>IFERROR(IF(InvDump[[#This Row],[Annexure]]="Yes",VLOOKUP($A147,InvDump[#All],21,FALSE)&amp;"; "&amp;VLOOKUP($A147,InvDump[#All],23,FALSE),VLOOKUP($A147,InvDump[#All],21,FALSE)),"")</f>
        <v/>
      </c>
    </row>
    <row r="148" spans="2:19" ht="15" thickBot="1" x14ac:dyDescent="0.35">
      <c r="B148" s="69" t="str">
        <f>IFERROR(VLOOKUP($A148,InvDump[#All],MATCH(B$3,InvDump[#Headers],0),FALSE),"-")</f>
        <v>-</v>
      </c>
      <c r="C148" s="70" t="str">
        <f>IFERROR(VLOOKUP($A148,InvDump[#All],MATCH(C$3,InvDump[#Headers],0),FALSE),"-")</f>
        <v>-</v>
      </c>
      <c r="D148" s="69" t="str">
        <f>IFERROR(VLOOKUP($A148,InvDump[#All],MATCH(D$3,InvDump[#Headers],0),FALSE),"-")</f>
        <v>-</v>
      </c>
      <c r="E148" s="69" t="str">
        <f>IFERROR(VLOOKUP($A148,InvDump[#All],MATCH(E$3,InvDump[#Headers],0),FALSE),"-")</f>
        <v>-</v>
      </c>
      <c r="F148" s="69" t="str">
        <f>IFERROR(VLOOKUP($A148,InvDump[#All],MATCH(F$3,InvDump[#Headers],0),FALSE),"-")</f>
        <v>-</v>
      </c>
      <c r="G148" s="69" t="str">
        <f>IFERROR(VLOOKUP($A148,InvDump[#All],MATCH(G$3,InvDump[#Headers],0),FALSE),"-")</f>
        <v>-</v>
      </c>
      <c r="H148" s="74" t="str">
        <f>IFERROR(VLOOKUP(G148,CustomerData!$B$4:$D$13,3),"-")</f>
        <v>-</v>
      </c>
      <c r="I148" s="69" t="str">
        <f>IFERROR(VLOOKUP($A148,InvDump[#All],MATCH(I$3,InvDump[#Headers],0),FALSE),"-")</f>
        <v>-</v>
      </c>
      <c r="J148" s="69" t="str">
        <f>IFERROR(VLOOKUP($A148,InvDump[#All],MATCH(J$3,InvDump[#Headers],0),FALSE),"-")</f>
        <v>-</v>
      </c>
      <c r="K148" s="69" t="str">
        <f>IFERROR(VLOOKUP($A148,InvDump[#All],MATCH(K$3,InvDump[#Headers],0),FALSE),"-")</f>
        <v>-</v>
      </c>
      <c r="L148" s="72" t="str">
        <f>IFERROR(VLOOKUP($A148,InvDump[#All],MATCH(L$3,InvDump[#Headers],0),FALSE),"-")</f>
        <v>-</v>
      </c>
      <c r="M148" s="72" t="str">
        <f>IFERROR(VLOOKUP($A148,InvDump[#All],MATCH(M$3,InvDump[#Headers],0),FALSE),"-")</f>
        <v>-</v>
      </c>
      <c r="N148" s="72" t="str">
        <f>IFERROR(VLOOKUP($A148,InvDump[#All],MATCH(N$3,InvDump[#Headers],0),FALSE),"-")</f>
        <v>-</v>
      </c>
      <c r="O148" s="72" t="str">
        <f>IFERROR(VLOOKUP($A148,InvDump[#All],MATCH(O$3,InvDump[#Headers],0),FALSE),"-")</f>
        <v>-</v>
      </c>
      <c r="P148" s="73" t="str">
        <f>IFERROR(VLOOKUP($A148,InvDump[#All],MATCH(P$3,InvDump[#Headers],0),FALSE),"")</f>
        <v/>
      </c>
      <c r="Q148" s="73" t="str">
        <f>IFERROR(VLOOKUP($A148,InvDump[#All],MATCH(Q$3,InvDump[#Headers],0),FALSE),"")</f>
        <v/>
      </c>
      <c r="R148" s="73" t="str">
        <f>IFERROR(IF(VLOOKUP($A148,InvDump[#All],MATCH(R$3,InvDump[#Headers],0),FALSE)=0,"",VLOOKUP($A148,InvDump[#All],MATCH(R$3,InvDump[#Headers],0),FALSE)),"")</f>
        <v/>
      </c>
      <c r="S148" s="75" t="str">
        <f>IFERROR(IF(InvDump[[#This Row],[Annexure]]="Yes",VLOOKUP($A148,InvDump[#All],21,FALSE)&amp;"; "&amp;VLOOKUP($A148,InvDump[#All],23,FALSE),VLOOKUP($A148,InvDump[#All],21,FALSE)),"")</f>
        <v/>
      </c>
    </row>
    <row r="149" spans="2:19" ht="15" thickBot="1" x14ac:dyDescent="0.35">
      <c r="B149" s="69" t="str">
        <f>IFERROR(VLOOKUP($A149,InvDump[#All],MATCH(B$3,InvDump[#Headers],0),FALSE),"-")</f>
        <v>-</v>
      </c>
      <c r="C149" s="70" t="str">
        <f>IFERROR(VLOOKUP($A149,InvDump[#All],MATCH(C$3,InvDump[#Headers],0),FALSE),"-")</f>
        <v>-</v>
      </c>
      <c r="D149" s="69" t="str">
        <f>IFERROR(VLOOKUP($A149,InvDump[#All],MATCH(D$3,InvDump[#Headers],0),FALSE),"-")</f>
        <v>-</v>
      </c>
      <c r="E149" s="69" t="str">
        <f>IFERROR(VLOOKUP($A149,InvDump[#All],MATCH(E$3,InvDump[#Headers],0),FALSE),"-")</f>
        <v>-</v>
      </c>
      <c r="F149" s="69" t="str">
        <f>IFERROR(VLOOKUP($A149,InvDump[#All],MATCH(F$3,InvDump[#Headers],0),FALSE),"-")</f>
        <v>-</v>
      </c>
      <c r="G149" s="69" t="str">
        <f>IFERROR(VLOOKUP($A149,InvDump[#All],MATCH(G$3,InvDump[#Headers],0),FALSE),"-")</f>
        <v>-</v>
      </c>
      <c r="H149" s="74" t="str">
        <f>IFERROR(VLOOKUP(G149,CustomerData!$B$4:$D$13,3),"-")</f>
        <v>-</v>
      </c>
      <c r="I149" s="69" t="str">
        <f>IFERROR(VLOOKUP($A149,InvDump[#All],MATCH(I$3,InvDump[#Headers],0),FALSE),"-")</f>
        <v>-</v>
      </c>
      <c r="J149" s="69" t="str">
        <f>IFERROR(VLOOKUP($A149,InvDump[#All],MATCH(J$3,InvDump[#Headers],0),FALSE),"-")</f>
        <v>-</v>
      </c>
      <c r="K149" s="69" t="str">
        <f>IFERROR(VLOOKUP($A149,InvDump[#All],MATCH(K$3,InvDump[#Headers],0),FALSE),"-")</f>
        <v>-</v>
      </c>
      <c r="L149" s="72" t="str">
        <f>IFERROR(VLOOKUP($A149,InvDump[#All],MATCH(L$3,InvDump[#Headers],0),FALSE),"-")</f>
        <v>-</v>
      </c>
      <c r="M149" s="72" t="str">
        <f>IFERROR(VLOOKUP($A149,InvDump[#All],MATCH(M$3,InvDump[#Headers],0),FALSE),"-")</f>
        <v>-</v>
      </c>
      <c r="N149" s="72" t="str">
        <f>IFERROR(VLOOKUP($A149,InvDump[#All],MATCH(N$3,InvDump[#Headers],0),FALSE),"-")</f>
        <v>-</v>
      </c>
      <c r="O149" s="72" t="str">
        <f>IFERROR(VLOOKUP($A149,InvDump[#All],MATCH(O$3,InvDump[#Headers],0),FALSE),"-")</f>
        <v>-</v>
      </c>
      <c r="P149" s="73" t="str">
        <f>IFERROR(VLOOKUP($A149,InvDump[#All],MATCH(P$3,InvDump[#Headers],0),FALSE),"")</f>
        <v/>
      </c>
      <c r="Q149" s="73" t="str">
        <f>IFERROR(VLOOKUP($A149,InvDump[#All],MATCH(Q$3,InvDump[#Headers],0),FALSE),"")</f>
        <v/>
      </c>
      <c r="R149" s="73" t="str">
        <f>IFERROR(IF(VLOOKUP($A149,InvDump[#All],MATCH(R$3,InvDump[#Headers],0),FALSE)=0,"",VLOOKUP($A149,InvDump[#All],MATCH(R$3,InvDump[#Headers],0),FALSE)),"")</f>
        <v/>
      </c>
      <c r="S149" s="75" t="str">
        <f>IFERROR(IF(InvDump[[#This Row],[Annexure]]="Yes",VLOOKUP($A149,InvDump[#All],21,FALSE)&amp;"; "&amp;VLOOKUP($A149,InvDump[#All],23,FALSE),VLOOKUP($A149,InvDump[#All],21,FALSE)),"")</f>
        <v/>
      </c>
    </row>
    <row r="150" spans="2:19" ht="15" thickBot="1" x14ac:dyDescent="0.35">
      <c r="B150" s="69" t="str">
        <f>IFERROR(VLOOKUP($A150,InvDump[#All],MATCH(B$3,InvDump[#Headers],0),FALSE),"-")</f>
        <v>-</v>
      </c>
      <c r="C150" s="70" t="str">
        <f>IFERROR(VLOOKUP($A150,InvDump[#All],MATCH(C$3,InvDump[#Headers],0),FALSE),"-")</f>
        <v>-</v>
      </c>
      <c r="D150" s="69" t="str">
        <f>IFERROR(VLOOKUP($A150,InvDump[#All],MATCH(D$3,InvDump[#Headers],0),FALSE),"-")</f>
        <v>-</v>
      </c>
      <c r="E150" s="69" t="str">
        <f>IFERROR(VLOOKUP($A150,InvDump[#All],MATCH(E$3,InvDump[#Headers],0),FALSE),"-")</f>
        <v>-</v>
      </c>
      <c r="F150" s="69" t="str">
        <f>IFERROR(VLOOKUP($A150,InvDump[#All],MATCH(F$3,InvDump[#Headers],0),FALSE),"-")</f>
        <v>-</v>
      </c>
      <c r="G150" s="69" t="str">
        <f>IFERROR(VLOOKUP($A150,InvDump[#All],MATCH(G$3,InvDump[#Headers],0),FALSE),"-")</f>
        <v>-</v>
      </c>
      <c r="H150" s="74" t="str">
        <f>IFERROR(VLOOKUP(G150,CustomerData!$B$4:$D$13,3),"-")</f>
        <v>-</v>
      </c>
      <c r="I150" s="69" t="str">
        <f>IFERROR(VLOOKUP($A150,InvDump[#All],MATCH(I$3,InvDump[#Headers],0),FALSE),"-")</f>
        <v>-</v>
      </c>
      <c r="J150" s="69" t="str">
        <f>IFERROR(VLOOKUP($A150,InvDump[#All],MATCH(J$3,InvDump[#Headers],0),FALSE),"-")</f>
        <v>-</v>
      </c>
      <c r="K150" s="69" t="str">
        <f>IFERROR(VLOOKUP($A150,InvDump[#All],MATCH(K$3,InvDump[#Headers],0),FALSE),"-")</f>
        <v>-</v>
      </c>
      <c r="L150" s="72" t="str">
        <f>IFERROR(VLOOKUP($A150,InvDump[#All],MATCH(L$3,InvDump[#Headers],0),FALSE),"-")</f>
        <v>-</v>
      </c>
      <c r="M150" s="72" t="str">
        <f>IFERROR(VLOOKUP($A150,InvDump[#All],MATCH(M$3,InvDump[#Headers],0),FALSE),"-")</f>
        <v>-</v>
      </c>
      <c r="N150" s="72" t="str">
        <f>IFERROR(VLOOKUP($A150,InvDump[#All],MATCH(N$3,InvDump[#Headers],0),FALSE),"-")</f>
        <v>-</v>
      </c>
      <c r="O150" s="72" t="str">
        <f>IFERROR(VLOOKUP($A150,InvDump[#All],MATCH(O$3,InvDump[#Headers],0),FALSE),"-")</f>
        <v>-</v>
      </c>
      <c r="P150" s="73" t="str">
        <f>IFERROR(VLOOKUP($A150,InvDump[#All],MATCH(P$3,InvDump[#Headers],0),FALSE),"")</f>
        <v/>
      </c>
      <c r="Q150" s="73" t="str">
        <f>IFERROR(VLOOKUP($A150,InvDump[#All],MATCH(Q$3,InvDump[#Headers],0),FALSE),"")</f>
        <v/>
      </c>
      <c r="R150" s="73" t="str">
        <f>IFERROR(IF(VLOOKUP($A150,InvDump[#All],MATCH(R$3,InvDump[#Headers],0),FALSE)=0,"",VLOOKUP($A150,InvDump[#All],MATCH(R$3,InvDump[#Headers],0),FALSE)),"")</f>
        <v/>
      </c>
      <c r="S150" s="75" t="str">
        <f>IFERROR(IF(InvDump[[#This Row],[Annexure]]="Yes",VLOOKUP($A150,InvDump[#All],21,FALSE)&amp;"; "&amp;VLOOKUP($A150,InvDump[#All],23,FALSE),VLOOKUP($A150,InvDump[#All],21,FALSE)),"")</f>
        <v/>
      </c>
    </row>
    <row r="151" spans="2:19" ht="15" thickBot="1" x14ac:dyDescent="0.35">
      <c r="B151" s="69" t="str">
        <f>IFERROR(VLOOKUP($A151,InvDump[#All],MATCH(B$3,InvDump[#Headers],0),FALSE),"-")</f>
        <v>-</v>
      </c>
      <c r="C151" s="70" t="str">
        <f>IFERROR(VLOOKUP($A151,InvDump[#All],MATCH(C$3,InvDump[#Headers],0),FALSE),"-")</f>
        <v>-</v>
      </c>
      <c r="D151" s="69" t="str">
        <f>IFERROR(VLOOKUP($A151,InvDump[#All],MATCH(D$3,InvDump[#Headers],0),FALSE),"-")</f>
        <v>-</v>
      </c>
      <c r="E151" s="69" t="str">
        <f>IFERROR(VLOOKUP($A151,InvDump[#All],MATCH(E$3,InvDump[#Headers],0),FALSE),"-")</f>
        <v>-</v>
      </c>
      <c r="F151" s="69" t="str">
        <f>IFERROR(VLOOKUP($A151,InvDump[#All],MATCH(F$3,InvDump[#Headers],0),FALSE),"-")</f>
        <v>-</v>
      </c>
      <c r="G151" s="69" t="str">
        <f>IFERROR(VLOOKUP($A151,InvDump[#All],MATCH(G$3,InvDump[#Headers],0),FALSE),"-")</f>
        <v>-</v>
      </c>
      <c r="H151" s="74" t="str">
        <f>IFERROR(VLOOKUP(G151,CustomerData!$B$4:$D$13,3),"-")</f>
        <v>-</v>
      </c>
      <c r="I151" s="69" t="str">
        <f>IFERROR(VLOOKUP($A151,InvDump[#All],MATCH(I$3,InvDump[#Headers],0),FALSE),"-")</f>
        <v>-</v>
      </c>
      <c r="J151" s="69" t="str">
        <f>IFERROR(VLOOKUP($A151,InvDump[#All],MATCH(J$3,InvDump[#Headers],0),FALSE),"-")</f>
        <v>-</v>
      </c>
      <c r="K151" s="69" t="str">
        <f>IFERROR(VLOOKUP($A151,InvDump[#All],MATCH(K$3,InvDump[#Headers],0),FALSE),"-")</f>
        <v>-</v>
      </c>
      <c r="L151" s="72" t="str">
        <f>IFERROR(VLOOKUP($A151,InvDump[#All],MATCH(L$3,InvDump[#Headers],0),FALSE),"-")</f>
        <v>-</v>
      </c>
      <c r="M151" s="72" t="str">
        <f>IFERROR(VLOOKUP($A151,InvDump[#All],MATCH(M$3,InvDump[#Headers],0),FALSE),"-")</f>
        <v>-</v>
      </c>
      <c r="N151" s="72" t="str">
        <f>IFERROR(VLOOKUP($A151,InvDump[#All],MATCH(N$3,InvDump[#Headers],0),FALSE),"-")</f>
        <v>-</v>
      </c>
      <c r="O151" s="72" t="str">
        <f>IFERROR(VLOOKUP($A151,InvDump[#All],MATCH(O$3,InvDump[#Headers],0),FALSE),"-")</f>
        <v>-</v>
      </c>
      <c r="P151" s="73" t="str">
        <f>IFERROR(VLOOKUP($A151,InvDump[#All],MATCH(P$3,InvDump[#Headers],0),FALSE),"")</f>
        <v/>
      </c>
      <c r="Q151" s="73" t="str">
        <f>IFERROR(VLOOKUP($A151,InvDump[#All],MATCH(Q$3,InvDump[#Headers],0),FALSE),"")</f>
        <v/>
      </c>
      <c r="R151" s="73" t="str">
        <f>IFERROR(IF(VLOOKUP($A151,InvDump[#All],MATCH(R$3,InvDump[#Headers],0),FALSE)=0,"",VLOOKUP($A151,InvDump[#All],MATCH(R$3,InvDump[#Headers],0),FALSE)),"")</f>
        <v/>
      </c>
      <c r="S151" s="75" t="str">
        <f>IFERROR(IF(InvDump[[#This Row],[Annexure]]="Yes",VLOOKUP($A151,InvDump[#All],21,FALSE)&amp;"; "&amp;VLOOKUP($A151,InvDump[#All],23,FALSE),VLOOKUP($A151,InvDump[#All],21,FALSE)),"")</f>
        <v/>
      </c>
    </row>
    <row r="152" spans="2:19" ht="15" thickBot="1" x14ac:dyDescent="0.35">
      <c r="B152" s="69" t="str">
        <f>IFERROR(VLOOKUP($A152,InvDump[#All],MATCH(B$3,InvDump[#Headers],0),FALSE),"-")</f>
        <v>-</v>
      </c>
      <c r="C152" s="70" t="str">
        <f>IFERROR(VLOOKUP($A152,InvDump[#All],MATCH(C$3,InvDump[#Headers],0),FALSE),"-")</f>
        <v>-</v>
      </c>
      <c r="D152" s="69" t="str">
        <f>IFERROR(VLOOKUP($A152,InvDump[#All],MATCH(D$3,InvDump[#Headers],0),FALSE),"-")</f>
        <v>-</v>
      </c>
      <c r="E152" s="69" t="str">
        <f>IFERROR(VLOOKUP($A152,InvDump[#All],MATCH(E$3,InvDump[#Headers],0),FALSE),"-")</f>
        <v>-</v>
      </c>
      <c r="F152" s="69" t="str">
        <f>IFERROR(VLOOKUP($A152,InvDump[#All],MATCH(F$3,InvDump[#Headers],0),FALSE),"-")</f>
        <v>-</v>
      </c>
      <c r="G152" s="69" t="str">
        <f>IFERROR(VLOOKUP($A152,InvDump[#All],MATCH(G$3,InvDump[#Headers],0),FALSE),"-")</f>
        <v>-</v>
      </c>
      <c r="H152" s="74" t="str">
        <f>IFERROR(VLOOKUP(G152,CustomerData!$B$4:$D$13,3),"-")</f>
        <v>-</v>
      </c>
      <c r="I152" s="69" t="str">
        <f>IFERROR(VLOOKUP($A152,InvDump[#All],MATCH(I$3,InvDump[#Headers],0),FALSE),"-")</f>
        <v>-</v>
      </c>
      <c r="J152" s="69" t="str">
        <f>IFERROR(VLOOKUP($A152,InvDump[#All],MATCH(J$3,InvDump[#Headers],0),FALSE),"-")</f>
        <v>-</v>
      </c>
      <c r="K152" s="69" t="str">
        <f>IFERROR(VLOOKUP($A152,InvDump[#All],MATCH(K$3,InvDump[#Headers],0),FALSE),"-")</f>
        <v>-</v>
      </c>
      <c r="L152" s="72" t="str">
        <f>IFERROR(VLOOKUP($A152,InvDump[#All],MATCH(L$3,InvDump[#Headers],0),FALSE),"-")</f>
        <v>-</v>
      </c>
      <c r="M152" s="72" t="str">
        <f>IFERROR(VLOOKUP($A152,InvDump[#All],MATCH(M$3,InvDump[#Headers],0),FALSE),"-")</f>
        <v>-</v>
      </c>
      <c r="N152" s="72" t="str">
        <f>IFERROR(VLOOKUP($A152,InvDump[#All],MATCH(N$3,InvDump[#Headers],0),FALSE),"-")</f>
        <v>-</v>
      </c>
      <c r="O152" s="72" t="str">
        <f>IFERROR(VLOOKUP($A152,InvDump[#All],MATCH(O$3,InvDump[#Headers],0),FALSE),"-")</f>
        <v>-</v>
      </c>
      <c r="P152" s="73" t="str">
        <f>IFERROR(VLOOKUP($A152,InvDump[#All],MATCH(P$3,InvDump[#Headers],0),FALSE),"")</f>
        <v/>
      </c>
      <c r="Q152" s="73" t="str">
        <f>IFERROR(VLOOKUP($A152,InvDump[#All],MATCH(Q$3,InvDump[#Headers],0),FALSE),"")</f>
        <v/>
      </c>
      <c r="R152" s="73" t="str">
        <f>IFERROR(IF(VLOOKUP($A152,InvDump[#All],MATCH(R$3,InvDump[#Headers],0),FALSE)=0,"",VLOOKUP($A152,InvDump[#All],MATCH(R$3,InvDump[#Headers],0),FALSE)),"")</f>
        <v/>
      </c>
      <c r="S152" s="75" t="str">
        <f>IFERROR(IF(InvDump[[#This Row],[Annexure]]="Yes",VLOOKUP($A152,InvDump[#All],21,FALSE)&amp;"; "&amp;VLOOKUP($A152,InvDump[#All],23,FALSE),VLOOKUP($A152,InvDump[#All],21,FALSE)),"")</f>
        <v/>
      </c>
    </row>
    <row r="153" spans="2:19" ht="15" thickBot="1" x14ac:dyDescent="0.35">
      <c r="B153" s="69" t="str">
        <f>IFERROR(VLOOKUP($A153,InvDump[#All],MATCH(B$3,InvDump[#Headers],0),FALSE),"-")</f>
        <v>-</v>
      </c>
      <c r="C153" s="70" t="str">
        <f>IFERROR(VLOOKUP($A153,InvDump[#All],MATCH(C$3,InvDump[#Headers],0),FALSE),"-")</f>
        <v>-</v>
      </c>
      <c r="D153" s="69" t="str">
        <f>IFERROR(VLOOKUP($A153,InvDump[#All],MATCH(D$3,InvDump[#Headers],0),FALSE),"-")</f>
        <v>-</v>
      </c>
      <c r="E153" s="69" t="str">
        <f>IFERROR(VLOOKUP($A153,InvDump[#All],MATCH(E$3,InvDump[#Headers],0),FALSE),"-")</f>
        <v>-</v>
      </c>
      <c r="F153" s="69" t="str">
        <f>IFERROR(VLOOKUP($A153,InvDump[#All],MATCH(F$3,InvDump[#Headers],0),FALSE),"-")</f>
        <v>-</v>
      </c>
      <c r="G153" s="69" t="str">
        <f>IFERROR(VLOOKUP($A153,InvDump[#All],MATCH(G$3,InvDump[#Headers],0),FALSE),"-")</f>
        <v>-</v>
      </c>
      <c r="H153" s="74" t="str">
        <f>IFERROR(VLOOKUP(G153,CustomerData!$B$4:$D$13,3),"-")</f>
        <v>-</v>
      </c>
      <c r="I153" s="69" t="str">
        <f>IFERROR(VLOOKUP($A153,InvDump[#All],MATCH(I$3,InvDump[#Headers],0),FALSE),"-")</f>
        <v>-</v>
      </c>
      <c r="J153" s="69" t="str">
        <f>IFERROR(VLOOKUP($A153,InvDump[#All],MATCH(J$3,InvDump[#Headers],0),FALSE),"-")</f>
        <v>-</v>
      </c>
      <c r="K153" s="69" t="str">
        <f>IFERROR(VLOOKUP($A153,InvDump[#All],MATCH(K$3,InvDump[#Headers],0),FALSE),"-")</f>
        <v>-</v>
      </c>
      <c r="L153" s="72" t="str">
        <f>IFERROR(VLOOKUP($A153,InvDump[#All],MATCH(L$3,InvDump[#Headers],0),FALSE),"-")</f>
        <v>-</v>
      </c>
      <c r="M153" s="72" t="str">
        <f>IFERROR(VLOOKUP($A153,InvDump[#All],MATCH(M$3,InvDump[#Headers],0),FALSE),"-")</f>
        <v>-</v>
      </c>
      <c r="N153" s="72" t="str">
        <f>IFERROR(VLOOKUP($A153,InvDump[#All],MATCH(N$3,InvDump[#Headers],0),FALSE),"-")</f>
        <v>-</v>
      </c>
      <c r="O153" s="72" t="str">
        <f>IFERROR(VLOOKUP($A153,InvDump[#All],MATCH(O$3,InvDump[#Headers],0),FALSE),"-")</f>
        <v>-</v>
      </c>
      <c r="P153" s="73" t="str">
        <f>IFERROR(VLOOKUP($A153,InvDump[#All],MATCH(P$3,InvDump[#Headers],0),FALSE),"")</f>
        <v/>
      </c>
      <c r="Q153" s="73" t="str">
        <f>IFERROR(VLOOKUP($A153,InvDump[#All],MATCH(Q$3,InvDump[#Headers],0),FALSE),"")</f>
        <v/>
      </c>
      <c r="R153" s="73" t="str">
        <f>IFERROR(IF(VLOOKUP($A153,InvDump[#All],MATCH(R$3,InvDump[#Headers],0),FALSE)=0,"",VLOOKUP($A153,InvDump[#All],MATCH(R$3,InvDump[#Headers],0),FALSE)),"")</f>
        <v/>
      </c>
      <c r="S153" s="75" t="str">
        <f>IFERROR(IF(InvDump[[#This Row],[Annexure]]="Yes",VLOOKUP($A153,InvDump[#All],21,FALSE)&amp;"; "&amp;VLOOKUP($A153,InvDump[#All],23,FALSE),VLOOKUP($A153,InvDump[#All],21,FALSE)),"")</f>
        <v/>
      </c>
    </row>
    <row r="154" spans="2:19" ht="15" thickBot="1" x14ac:dyDescent="0.35">
      <c r="B154" s="69" t="str">
        <f>IFERROR(VLOOKUP($A154,InvDump[#All],MATCH(B$3,InvDump[#Headers],0),FALSE),"-")</f>
        <v>-</v>
      </c>
      <c r="C154" s="70" t="str">
        <f>IFERROR(VLOOKUP($A154,InvDump[#All],MATCH(C$3,InvDump[#Headers],0),FALSE),"-")</f>
        <v>-</v>
      </c>
      <c r="D154" s="69" t="str">
        <f>IFERROR(VLOOKUP($A154,InvDump[#All],MATCH(D$3,InvDump[#Headers],0),FALSE),"-")</f>
        <v>-</v>
      </c>
      <c r="E154" s="69" t="str">
        <f>IFERROR(VLOOKUP($A154,InvDump[#All],MATCH(E$3,InvDump[#Headers],0),FALSE),"-")</f>
        <v>-</v>
      </c>
      <c r="F154" s="69" t="str">
        <f>IFERROR(VLOOKUP($A154,InvDump[#All],MATCH(F$3,InvDump[#Headers],0),FALSE),"-")</f>
        <v>-</v>
      </c>
      <c r="G154" s="69" t="str">
        <f>IFERROR(VLOOKUP($A154,InvDump[#All],MATCH(G$3,InvDump[#Headers],0),FALSE),"-")</f>
        <v>-</v>
      </c>
      <c r="H154" s="74" t="str">
        <f>IFERROR(VLOOKUP(G154,CustomerData!$B$4:$D$13,3),"-")</f>
        <v>-</v>
      </c>
      <c r="I154" s="69" t="str">
        <f>IFERROR(VLOOKUP($A154,InvDump[#All],MATCH(I$3,InvDump[#Headers],0),FALSE),"-")</f>
        <v>-</v>
      </c>
      <c r="J154" s="69" t="str">
        <f>IFERROR(VLOOKUP($A154,InvDump[#All],MATCH(J$3,InvDump[#Headers],0),FALSE),"-")</f>
        <v>-</v>
      </c>
      <c r="K154" s="69" t="str">
        <f>IFERROR(VLOOKUP($A154,InvDump[#All],MATCH(K$3,InvDump[#Headers],0),FALSE),"-")</f>
        <v>-</v>
      </c>
      <c r="L154" s="72" t="str">
        <f>IFERROR(VLOOKUP($A154,InvDump[#All],MATCH(L$3,InvDump[#Headers],0),FALSE),"-")</f>
        <v>-</v>
      </c>
      <c r="M154" s="72" t="str">
        <f>IFERROR(VLOOKUP($A154,InvDump[#All],MATCH(M$3,InvDump[#Headers],0),FALSE),"-")</f>
        <v>-</v>
      </c>
      <c r="N154" s="72" t="str">
        <f>IFERROR(VLOOKUP($A154,InvDump[#All],MATCH(N$3,InvDump[#Headers],0),FALSE),"-")</f>
        <v>-</v>
      </c>
      <c r="O154" s="72" t="str">
        <f>IFERROR(VLOOKUP($A154,InvDump[#All],MATCH(O$3,InvDump[#Headers],0),FALSE),"-")</f>
        <v>-</v>
      </c>
      <c r="P154" s="73" t="str">
        <f>IFERROR(VLOOKUP($A154,InvDump[#All],MATCH(P$3,InvDump[#Headers],0),FALSE),"")</f>
        <v/>
      </c>
      <c r="Q154" s="73" t="str">
        <f>IFERROR(VLOOKUP($A154,InvDump[#All],MATCH(Q$3,InvDump[#Headers],0),FALSE),"")</f>
        <v/>
      </c>
      <c r="R154" s="73" t="str">
        <f>IFERROR(IF(VLOOKUP($A154,InvDump[#All],MATCH(R$3,InvDump[#Headers],0),FALSE)=0,"",VLOOKUP($A154,InvDump[#All],MATCH(R$3,InvDump[#Headers],0),FALSE)),"")</f>
        <v/>
      </c>
      <c r="S154" s="75" t="str">
        <f>IFERROR(IF(InvDump[[#This Row],[Annexure]]="Yes",VLOOKUP($A154,InvDump[#All],21,FALSE)&amp;"; "&amp;VLOOKUP($A154,InvDump[#All],23,FALSE),VLOOKUP($A154,InvDump[#All],21,FALSE)),"")</f>
        <v/>
      </c>
    </row>
    <row r="155" spans="2:19" ht="15" thickBot="1" x14ac:dyDescent="0.35">
      <c r="B155" s="69" t="str">
        <f>IFERROR(VLOOKUP($A155,InvDump[#All],MATCH(B$3,InvDump[#Headers],0),FALSE),"-")</f>
        <v>-</v>
      </c>
      <c r="C155" s="70" t="str">
        <f>IFERROR(VLOOKUP($A155,InvDump[#All],MATCH(C$3,InvDump[#Headers],0),FALSE),"-")</f>
        <v>-</v>
      </c>
      <c r="D155" s="69" t="str">
        <f>IFERROR(VLOOKUP($A155,InvDump[#All],MATCH(D$3,InvDump[#Headers],0),FALSE),"-")</f>
        <v>-</v>
      </c>
      <c r="E155" s="69" t="str">
        <f>IFERROR(VLOOKUP($A155,InvDump[#All],MATCH(E$3,InvDump[#Headers],0),FALSE),"-")</f>
        <v>-</v>
      </c>
      <c r="F155" s="69" t="str">
        <f>IFERROR(VLOOKUP($A155,InvDump[#All],MATCH(F$3,InvDump[#Headers],0),FALSE),"-")</f>
        <v>-</v>
      </c>
      <c r="G155" s="69" t="str">
        <f>IFERROR(VLOOKUP($A155,InvDump[#All],MATCH(G$3,InvDump[#Headers],0),FALSE),"-")</f>
        <v>-</v>
      </c>
      <c r="H155" s="74" t="str">
        <f>IFERROR(VLOOKUP(G155,CustomerData!$B$4:$D$13,3),"-")</f>
        <v>-</v>
      </c>
      <c r="I155" s="69" t="str">
        <f>IFERROR(VLOOKUP($A155,InvDump[#All],MATCH(I$3,InvDump[#Headers],0),FALSE),"-")</f>
        <v>-</v>
      </c>
      <c r="J155" s="69" t="str">
        <f>IFERROR(VLOOKUP($A155,InvDump[#All],MATCH(J$3,InvDump[#Headers],0),FALSE),"-")</f>
        <v>-</v>
      </c>
      <c r="K155" s="69" t="str">
        <f>IFERROR(VLOOKUP($A155,InvDump[#All],MATCH(K$3,InvDump[#Headers],0),FALSE),"-")</f>
        <v>-</v>
      </c>
      <c r="L155" s="72" t="str">
        <f>IFERROR(VLOOKUP($A155,InvDump[#All],MATCH(L$3,InvDump[#Headers],0),FALSE),"-")</f>
        <v>-</v>
      </c>
      <c r="M155" s="72" t="str">
        <f>IFERROR(VLOOKUP($A155,InvDump[#All],MATCH(M$3,InvDump[#Headers],0),FALSE),"-")</f>
        <v>-</v>
      </c>
      <c r="N155" s="72" t="str">
        <f>IFERROR(VLOOKUP($A155,InvDump[#All],MATCH(N$3,InvDump[#Headers],0),FALSE),"-")</f>
        <v>-</v>
      </c>
      <c r="O155" s="72" t="str">
        <f>IFERROR(VLOOKUP($A155,InvDump[#All],MATCH(O$3,InvDump[#Headers],0),FALSE),"-")</f>
        <v>-</v>
      </c>
      <c r="P155" s="73" t="str">
        <f>IFERROR(VLOOKUP($A155,InvDump[#All],MATCH(P$3,InvDump[#Headers],0),FALSE),"")</f>
        <v/>
      </c>
      <c r="Q155" s="73" t="str">
        <f>IFERROR(VLOOKUP($A155,InvDump[#All],MATCH(Q$3,InvDump[#Headers],0),FALSE),"")</f>
        <v/>
      </c>
      <c r="R155" s="73" t="str">
        <f>IFERROR(IF(VLOOKUP($A155,InvDump[#All],MATCH(R$3,InvDump[#Headers],0),FALSE)=0,"",VLOOKUP($A155,InvDump[#All],MATCH(R$3,InvDump[#Headers],0),FALSE)),"")</f>
        <v/>
      </c>
      <c r="S155" s="75" t="str">
        <f>IFERROR(IF(InvDump[[#This Row],[Annexure]]="Yes",VLOOKUP($A155,InvDump[#All],21,FALSE)&amp;"; "&amp;VLOOKUP($A155,InvDump[#All],23,FALSE),VLOOKUP($A155,InvDump[#All],21,FALSE)),"")</f>
        <v/>
      </c>
    </row>
    <row r="156" spans="2:19" ht="15" thickBot="1" x14ac:dyDescent="0.35">
      <c r="B156" s="69" t="str">
        <f>IFERROR(VLOOKUP($A156,InvDump[#All],MATCH(B$3,InvDump[#Headers],0),FALSE),"-")</f>
        <v>-</v>
      </c>
      <c r="C156" s="70" t="str">
        <f>IFERROR(VLOOKUP($A156,InvDump[#All],MATCH(C$3,InvDump[#Headers],0),FALSE),"-")</f>
        <v>-</v>
      </c>
      <c r="D156" s="69" t="str">
        <f>IFERROR(VLOOKUP($A156,InvDump[#All],MATCH(D$3,InvDump[#Headers],0),FALSE),"-")</f>
        <v>-</v>
      </c>
      <c r="E156" s="69" t="str">
        <f>IFERROR(VLOOKUP($A156,InvDump[#All],MATCH(E$3,InvDump[#Headers],0),FALSE),"-")</f>
        <v>-</v>
      </c>
      <c r="F156" s="69" t="str">
        <f>IFERROR(VLOOKUP($A156,InvDump[#All],MATCH(F$3,InvDump[#Headers],0),FALSE),"-")</f>
        <v>-</v>
      </c>
      <c r="G156" s="69" t="str">
        <f>IFERROR(VLOOKUP($A156,InvDump[#All],MATCH(G$3,InvDump[#Headers],0),FALSE),"-")</f>
        <v>-</v>
      </c>
      <c r="H156" s="74" t="str">
        <f>IFERROR(VLOOKUP(G156,CustomerData!$B$4:$D$13,3),"-")</f>
        <v>-</v>
      </c>
      <c r="I156" s="69" t="str">
        <f>IFERROR(VLOOKUP($A156,InvDump[#All],MATCH(I$3,InvDump[#Headers],0),FALSE),"-")</f>
        <v>-</v>
      </c>
      <c r="J156" s="69" t="str">
        <f>IFERROR(VLOOKUP($A156,InvDump[#All],MATCH(J$3,InvDump[#Headers],0),FALSE),"-")</f>
        <v>-</v>
      </c>
      <c r="K156" s="69" t="str">
        <f>IFERROR(VLOOKUP($A156,InvDump[#All],MATCH(K$3,InvDump[#Headers],0),FALSE),"-")</f>
        <v>-</v>
      </c>
      <c r="L156" s="72" t="str">
        <f>IFERROR(VLOOKUP($A156,InvDump[#All],MATCH(L$3,InvDump[#Headers],0),FALSE),"-")</f>
        <v>-</v>
      </c>
      <c r="M156" s="72" t="str">
        <f>IFERROR(VLOOKUP($A156,InvDump[#All],MATCH(M$3,InvDump[#Headers],0),FALSE),"-")</f>
        <v>-</v>
      </c>
      <c r="N156" s="72" t="str">
        <f>IFERROR(VLOOKUP($A156,InvDump[#All],MATCH(N$3,InvDump[#Headers],0),FALSE),"-")</f>
        <v>-</v>
      </c>
      <c r="O156" s="72" t="str">
        <f>IFERROR(VLOOKUP($A156,InvDump[#All],MATCH(O$3,InvDump[#Headers],0),FALSE),"-")</f>
        <v>-</v>
      </c>
      <c r="P156" s="73" t="str">
        <f>IFERROR(VLOOKUP($A156,InvDump[#All],MATCH(P$3,InvDump[#Headers],0),FALSE),"")</f>
        <v/>
      </c>
      <c r="Q156" s="73" t="str">
        <f>IFERROR(VLOOKUP($A156,InvDump[#All],MATCH(Q$3,InvDump[#Headers],0),FALSE),"")</f>
        <v/>
      </c>
      <c r="R156" s="73" t="str">
        <f>IFERROR(IF(VLOOKUP($A156,InvDump[#All],MATCH(R$3,InvDump[#Headers],0),FALSE)=0,"",VLOOKUP($A156,InvDump[#All],MATCH(R$3,InvDump[#Headers],0),FALSE)),"")</f>
        <v/>
      </c>
      <c r="S156" s="75" t="str">
        <f>IFERROR(IF(InvDump[[#This Row],[Annexure]]="Yes",VLOOKUP($A156,InvDump[#All],21,FALSE)&amp;"; "&amp;VLOOKUP($A156,InvDump[#All],23,FALSE),VLOOKUP($A156,InvDump[#All],21,FALSE)),"")</f>
        <v/>
      </c>
    </row>
    <row r="157" spans="2:19" ht="15" thickBot="1" x14ac:dyDescent="0.35">
      <c r="B157" s="69" t="str">
        <f>IFERROR(VLOOKUP($A157,InvDump[#All],MATCH(B$3,InvDump[#Headers],0),FALSE),"-")</f>
        <v>-</v>
      </c>
      <c r="C157" s="70" t="str">
        <f>IFERROR(VLOOKUP($A157,InvDump[#All],MATCH(C$3,InvDump[#Headers],0),FALSE),"-")</f>
        <v>-</v>
      </c>
      <c r="D157" s="69" t="str">
        <f>IFERROR(VLOOKUP($A157,InvDump[#All],MATCH(D$3,InvDump[#Headers],0),FALSE),"-")</f>
        <v>-</v>
      </c>
      <c r="E157" s="69" t="str">
        <f>IFERROR(VLOOKUP($A157,InvDump[#All],MATCH(E$3,InvDump[#Headers],0),FALSE),"-")</f>
        <v>-</v>
      </c>
      <c r="F157" s="69" t="str">
        <f>IFERROR(VLOOKUP($A157,InvDump[#All],MATCH(F$3,InvDump[#Headers],0),FALSE),"-")</f>
        <v>-</v>
      </c>
      <c r="G157" s="69" t="str">
        <f>IFERROR(VLOOKUP($A157,InvDump[#All],MATCH(G$3,InvDump[#Headers],0),FALSE),"-")</f>
        <v>-</v>
      </c>
      <c r="H157" s="74" t="str">
        <f>IFERROR(VLOOKUP(G157,CustomerData!$B$4:$D$13,3),"-")</f>
        <v>-</v>
      </c>
      <c r="I157" s="69" t="str">
        <f>IFERROR(VLOOKUP($A157,InvDump[#All],MATCH(I$3,InvDump[#Headers],0),FALSE),"-")</f>
        <v>-</v>
      </c>
      <c r="J157" s="69" t="str">
        <f>IFERROR(VLOOKUP($A157,InvDump[#All],MATCH(J$3,InvDump[#Headers],0),FALSE),"-")</f>
        <v>-</v>
      </c>
      <c r="K157" s="69" t="str">
        <f>IFERROR(VLOOKUP($A157,InvDump[#All],MATCH(K$3,InvDump[#Headers],0),FALSE),"-")</f>
        <v>-</v>
      </c>
      <c r="L157" s="72" t="str">
        <f>IFERROR(VLOOKUP($A157,InvDump[#All],MATCH(L$3,InvDump[#Headers],0),FALSE),"-")</f>
        <v>-</v>
      </c>
      <c r="M157" s="72" t="str">
        <f>IFERROR(VLOOKUP($A157,InvDump[#All],MATCH(M$3,InvDump[#Headers],0),FALSE),"-")</f>
        <v>-</v>
      </c>
      <c r="N157" s="72" t="str">
        <f>IFERROR(VLOOKUP($A157,InvDump[#All],MATCH(N$3,InvDump[#Headers],0),FALSE),"-")</f>
        <v>-</v>
      </c>
      <c r="O157" s="72" t="str">
        <f>IFERROR(VLOOKUP($A157,InvDump[#All],MATCH(O$3,InvDump[#Headers],0),FALSE),"-")</f>
        <v>-</v>
      </c>
      <c r="P157" s="73" t="str">
        <f>IFERROR(VLOOKUP($A157,InvDump[#All],MATCH(P$3,InvDump[#Headers],0),FALSE),"")</f>
        <v/>
      </c>
      <c r="Q157" s="73" t="str">
        <f>IFERROR(VLOOKUP($A157,InvDump[#All],MATCH(Q$3,InvDump[#Headers],0),FALSE),"")</f>
        <v/>
      </c>
      <c r="R157" s="73" t="str">
        <f>IFERROR(IF(VLOOKUP($A157,InvDump[#All],MATCH(R$3,InvDump[#Headers],0),FALSE)=0,"",VLOOKUP($A157,InvDump[#All],MATCH(R$3,InvDump[#Headers],0),FALSE)),"")</f>
        <v/>
      </c>
      <c r="S157" s="75" t="str">
        <f>IFERROR(IF(InvDump[[#This Row],[Annexure]]="Yes",VLOOKUP($A157,InvDump[#All],21,FALSE)&amp;"; "&amp;VLOOKUP($A157,InvDump[#All],23,FALSE),VLOOKUP($A157,InvDump[#All],21,FALSE)),"")</f>
        <v/>
      </c>
    </row>
    <row r="158" spans="2:19" ht="15" thickBot="1" x14ac:dyDescent="0.35">
      <c r="B158" s="69" t="str">
        <f>IFERROR(VLOOKUP($A158,InvDump[#All],MATCH(B$3,InvDump[#Headers],0),FALSE),"-")</f>
        <v>-</v>
      </c>
      <c r="C158" s="70" t="str">
        <f>IFERROR(VLOOKUP($A158,InvDump[#All],MATCH(C$3,InvDump[#Headers],0),FALSE),"-")</f>
        <v>-</v>
      </c>
      <c r="D158" s="69" t="str">
        <f>IFERROR(VLOOKUP($A158,InvDump[#All],MATCH(D$3,InvDump[#Headers],0),FALSE),"-")</f>
        <v>-</v>
      </c>
      <c r="E158" s="69" t="str">
        <f>IFERROR(VLOOKUP($A158,InvDump[#All],MATCH(E$3,InvDump[#Headers],0),FALSE),"-")</f>
        <v>-</v>
      </c>
      <c r="F158" s="69" t="str">
        <f>IFERROR(VLOOKUP($A158,InvDump[#All],MATCH(F$3,InvDump[#Headers],0),FALSE),"-")</f>
        <v>-</v>
      </c>
      <c r="G158" s="69" t="str">
        <f>IFERROR(VLOOKUP($A158,InvDump[#All],MATCH(G$3,InvDump[#Headers],0),FALSE),"-")</f>
        <v>-</v>
      </c>
      <c r="H158" s="74" t="str">
        <f>IFERROR(VLOOKUP(G158,CustomerData!$B$4:$D$13,3),"-")</f>
        <v>-</v>
      </c>
      <c r="I158" s="69" t="str">
        <f>IFERROR(VLOOKUP($A158,InvDump[#All],MATCH(I$3,InvDump[#Headers],0),FALSE),"-")</f>
        <v>-</v>
      </c>
      <c r="J158" s="69" t="str">
        <f>IFERROR(VLOOKUP($A158,InvDump[#All],MATCH(J$3,InvDump[#Headers],0),FALSE),"-")</f>
        <v>-</v>
      </c>
      <c r="K158" s="69" t="str">
        <f>IFERROR(VLOOKUP($A158,InvDump[#All],MATCH(K$3,InvDump[#Headers],0),FALSE),"-")</f>
        <v>-</v>
      </c>
      <c r="L158" s="72" t="str">
        <f>IFERROR(VLOOKUP($A158,InvDump[#All],MATCH(L$3,InvDump[#Headers],0),FALSE),"-")</f>
        <v>-</v>
      </c>
      <c r="M158" s="72" t="str">
        <f>IFERROR(VLOOKUP($A158,InvDump[#All],MATCH(M$3,InvDump[#Headers],0),FALSE),"-")</f>
        <v>-</v>
      </c>
      <c r="N158" s="72" t="str">
        <f>IFERROR(VLOOKUP($A158,InvDump[#All],MATCH(N$3,InvDump[#Headers],0),FALSE),"-")</f>
        <v>-</v>
      </c>
      <c r="O158" s="72" t="str">
        <f>IFERROR(VLOOKUP($A158,InvDump[#All],MATCH(O$3,InvDump[#Headers],0),FALSE),"-")</f>
        <v>-</v>
      </c>
      <c r="P158" s="73" t="str">
        <f>IFERROR(VLOOKUP($A158,InvDump[#All],MATCH(P$3,InvDump[#Headers],0),FALSE),"")</f>
        <v/>
      </c>
      <c r="Q158" s="73" t="str">
        <f>IFERROR(VLOOKUP($A158,InvDump[#All],MATCH(Q$3,InvDump[#Headers],0),FALSE),"")</f>
        <v/>
      </c>
      <c r="R158" s="73" t="str">
        <f>IFERROR(IF(VLOOKUP($A158,InvDump[#All],MATCH(R$3,InvDump[#Headers],0),FALSE)=0,"",VLOOKUP($A158,InvDump[#All],MATCH(R$3,InvDump[#Headers],0),FALSE)),"")</f>
        <v/>
      </c>
      <c r="S158" s="75" t="str">
        <f>IFERROR(IF(InvDump[[#This Row],[Annexure]]="Yes",VLOOKUP($A158,InvDump[#All],21,FALSE)&amp;"; "&amp;VLOOKUP($A158,InvDump[#All],23,FALSE),VLOOKUP($A158,InvDump[#All],21,FALSE)),"")</f>
        <v/>
      </c>
    </row>
    <row r="159" spans="2:19" ht="15" thickBot="1" x14ac:dyDescent="0.35">
      <c r="B159" s="69" t="str">
        <f>IFERROR(VLOOKUP($A159,InvDump[#All],MATCH(B$3,InvDump[#Headers],0),FALSE),"-")</f>
        <v>-</v>
      </c>
      <c r="C159" s="70" t="str">
        <f>IFERROR(VLOOKUP($A159,InvDump[#All],MATCH(C$3,InvDump[#Headers],0),FALSE),"-")</f>
        <v>-</v>
      </c>
      <c r="D159" s="69" t="str">
        <f>IFERROR(VLOOKUP($A159,InvDump[#All],MATCH(D$3,InvDump[#Headers],0),FALSE),"-")</f>
        <v>-</v>
      </c>
      <c r="E159" s="69" t="str">
        <f>IFERROR(VLOOKUP($A159,InvDump[#All],MATCH(E$3,InvDump[#Headers],0),FALSE),"-")</f>
        <v>-</v>
      </c>
      <c r="F159" s="69" t="str">
        <f>IFERROR(VLOOKUP($A159,InvDump[#All],MATCH(F$3,InvDump[#Headers],0),FALSE),"-")</f>
        <v>-</v>
      </c>
      <c r="G159" s="69" t="str">
        <f>IFERROR(VLOOKUP($A159,InvDump[#All],MATCH(G$3,InvDump[#Headers],0),FALSE),"-")</f>
        <v>-</v>
      </c>
      <c r="H159" s="74" t="str">
        <f>IFERROR(VLOOKUP(G159,CustomerData!$B$4:$D$13,3),"-")</f>
        <v>-</v>
      </c>
      <c r="I159" s="69" t="str">
        <f>IFERROR(VLOOKUP($A159,InvDump[#All],MATCH(I$3,InvDump[#Headers],0),FALSE),"-")</f>
        <v>-</v>
      </c>
      <c r="J159" s="69" t="str">
        <f>IFERROR(VLOOKUP($A159,InvDump[#All],MATCH(J$3,InvDump[#Headers],0),FALSE),"-")</f>
        <v>-</v>
      </c>
      <c r="K159" s="69" t="str">
        <f>IFERROR(VLOOKUP($A159,InvDump[#All],MATCH(K$3,InvDump[#Headers],0),FALSE),"-")</f>
        <v>-</v>
      </c>
      <c r="L159" s="72" t="str">
        <f>IFERROR(VLOOKUP($A159,InvDump[#All],MATCH(L$3,InvDump[#Headers],0),FALSE),"-")</f>
        <v>-</v>
      </c>
      <c r="M159" s="72" t="str">
        <f>IFERROR(VLOOKUP($A159,InvDump[#All],MATCH(M$3,InvDump[#Headers],0),FALSE),"-")</f>
        <v>-</v>
      </c>
      <c r="N159" s="72" t="str">
        <f>IFERROR(VLOOKUP($A159,InvDump[#All],MATCH(N$3,InvDump[#Headers],0),FALSE),"-")</f>
        <v>-</v>
      </c>
      <c r="O159" s="72" t="str">
        <f>IFERROR(VLOOKUP($A159,InvDump[#All],MATCH(O$3,InvDump[#Headers],0),FALSE),"-")</f>
        <v>-</v>
      </c>
      <c r="P159" s="73" t="str">
        <f>IFERROR(VLOOKUP($A159,InvDump[#All],MATCH(P$3,InvDump[#Headers],0),FALSE),"")</f>
        <v/>
      </c>
      <c r="Q159" s="73" t="str">
        <f>IFERROR(VLOOKUP($A159,InvDump[#All],MATCH(Q$3,InvDump[#Headers],0),FALSE),"")</f>
        <v/>
      </c>
      <c r="R159" s="73" t="str">
        <f>IFERROR(IF(VLOOKUP($A159,InvDump[#All],MATCH(R$3,InvDump[#Headers],0),FALSE)=0,"",VLOOKUP($A159,InvDump[#All],MATCH(R$3,InvDump[#Headers],0),FALSE)),"")</f>
        <v/>
      </c>
      <c r="S159" s="75" t="str">
        <f>IFERROR(IF(InvDump[[#This Row],[Annexure]]="Yes",VLOOKUP($A159,InvDump[#All],21,FALSE)&amp;"; "&amp;VLOOKUP($A159,InvDump[#All],23,FALSE),VLOOKUP($A159,InvDump[#All],21,FALSE)),"")</f>
        <v/>
      </c>
    </row>
    <row r="160" spans="2:19" ht="15" thickBot="1" x14ac:dyDescent="0.35">
      <c r="B160" s="69" t="str">
        <f>IFERROR(VLOOKUP($A160,InvDump[#All],MATCH(B$3,InvDump[#Headers],0),FALSE),"-")</f>
        <v>-</v>
      </c>
      <c r="C160" s="70" t="str">
        <f>IFERROR(VLOOKUP($A160,InvDump[#All],MATCH(C$3,InvDump[#Headers],0),FALSE),"-")</f>
        <v>-</v>
      </c>
      <c r="D160" s="69" t="str">
        <f>IFERROR(VLOOKUP($A160,InvDump[#All],MATCH(D$3,InvDump[#Headers],0),FALSE),"-")</f>
        <v>-</v>
      </c>
      <c r="E160" s="69" t="str">
        <f>IFERROR(VLOOKUP($A160,InvDump[#All],MATCH(E$3,InvDump[#Headers],0),FALSE),"-")</f>
        <v>-</v>
      </c>
      <c r="F160" s="69" t="str">
        <f>IFERROR(VLOOKUP($A160,InvDump[#All],MATCH(F$3,InvDump[#Headers],0),FALSE),"-")</f>
        <v>-</v>
      </c>
      <c r="G160" s="69" t="str">
        <f>IFERROR(VLOOKUP($A160,InvDump[#All],MATCH(G$3,InvDump[#Headers],0),FALSE),"-")</f>
        <v>-</v>
      </c>
      <c r="H160" s="74" t="str">
        <f>IFERROR(VLOOKUP(G160,CustomerData!$B$4:$D$13,3),"-")</f>
        <v>-</v>
      </c>
      <c r="I160" s="69" t="str">
        <f>IFERROR(VLOOKUP($A160,InvDump[#All],MATCH(I$3,InvDump[#Headers],0),FALSE),"-")</f>
        <v>-</v>
      </c>
      <c r="J160" s="69" t="str">
        <f>IFERROR(VLOOKUP($A160,InvDump[#All],MATCH(J$3,InvDump[#Headers],0),FALSE),"-")</f>
        <v>-</v>
      </c>
      <c r="K160" s="69" t="str">
        <f>IFERROR(VLOOKUP($A160,InvDump[#All],MATCH(K$3,InvDump[#Headers],0),FALSE),"-")</f>
        <v>-</v>
      </c>
      <c r="L160" s="72" t="str">
        <f>IFERROR(VLOOKUP($A160,InvDump[#All],MATCH(L$3,InvDump[#Headers],0),FALSE),"-")</f>
        <v>-</v>
      </c>
      <c r="M160" s="72" t="str">
        <f>IFERROR(VLOOKUP($A160,InvDump[#All],MATCH(M$3,InvDump[#Headers],0),FALSE),"-")</f>
        <v>-</v>
      </c>
      <c r="N160" s="72" t="str">
        <f>IFERROR(VLOOKUP($A160,InvDump[#All],MATCH(N$3,InvDump[#Headers],0),FALSE),"-")</f>
        <v>-</v>
      </c>
      <c r="O160" s="72" t="str">
        <f>IFERROR(VLOOKUP($A160,InvDump[#All],MATCH(O$3,InvDump[#Headers],0),FALSE),"-")</f>
        <v>-</v>
      </c>
      <c r="P160" s="73" t="str">
        <f>IFERROR(VLOOKUP($A160,InvDump[#All],MATCH(P$3,InvDump[#Headers],0),FALSE),"")</f>
        <v/>
      </c>
      <c r="Q160" s="73" t="str">
        <f>IFERROR(VLOOKUP($A160,InvDump[#All],MATCH(Q$3,InvDump[#Headers],0),FALSE),"")</f>
        <v/>
      </c>
      <c r="R160" s="73" t="str">
        <f>IFERROR(IF(VLOOKUP($A160,InvDump[#All],MATCH(R$3,InvDump[#Headers],0),FALSE)=0,"",VLOOKUP($A160,InvDump[#All],MATCH(R$3,InvDump[#Headers],0),FALSE)),"")</f>
        <v/>
      </c>
      <c r="S160" s="75" t="str">
        <f>IFERROR(IF(InvDump[[#This Row],[Annexure]]="Yes",VLOOKUP($A160,InvDump[#All],21,FALSE)&amp;"; "&amp;VLOOKUP($A160,InvDump[#All],23,FALSE),VLOOKUP($A160,InvDump[#All],21,FALSE)),"")</f>
        <v/>
      </c>
    </row>
    <row r="161" spans="2:19" ht="15" thickBot="1" x14ac:dyDescent="0.35">
      <c r="B161" s="69" t="str">
        <f>IFERROR(VLOOKUP($A161,InvDump[#All],MATCH(B$3,InvDump[#Headers],0),FALSE),"-")</f>
        <v>-</v>
      </c>
      <c r="C161" s="70" t="str">
        <f>IFERROR(VLOOKUP($A161,InvDump[#All],MATCH(C$3,InvDump[#Headers],0),FALSE),"-")</f>
        <v>-</v>
      </c>
      <c r="D161" s="69" t="str">
        <f>IFERROR(VLOOKUP($A161,InvDump[#All],MATCH(D$3,InvDump[#Headers],0),FALSE),"-")</f>
        <v>-</v>
      </c>
      <c r="E161" s="69" t="str">
        <f>IFERROR(VLOOKUP($A161,InvDump[#All],MATCH(E$3,InvDump[#Headers],0),FALSE),"-")</f>
        <v>-</v>
      </c>
      <c r="F161" s="69" t="str">
        <f>IFERROR(VLOOKUP($A161,InvDump[#All],MATCH(F$3,InvDump[#Headers],0),FALSE),"-")</f>
        <v>-</v>
      </c>
      <c r="G161" s="69" t="str">
        <f>IFERROR(VLOOKUP($A161,InvDump[#All],MATCH(G$3,InvDump[#Headers],0),FALSE),"-")</f>
        <v>-</v>
      </c>
      <c r="H161" s="74" t="str">
        <f>IFERROR(VLOOKUP(G161,CustomerData!$B$4:$D$13,3),"-")</f>
        <v>-</v>
      </c>
      <c r="I161" s="69" t="str">
        <f>IFERROR(VLOOKUP($A161,InvDump[#All],MATCH(I$3,InvDump[#Headers],0),FALSE),"-")</f>
        <v>-</v>
      </c>
      <c r="J161" s="69" t="str">
        <f>IFERROR(VLOOKUP($A161,InvDump[#All],MATCH(J$3,InvDump[#Headers],0),FALSE),"-")</f>
        <v>-</v>
      </c>
      <c r="K161" s="69" t="str">
        <f>IFERROR(VLOOKUP($A161,InvDump[#All],MATCH(K$3,InvDump[#Headers],0),FALSE),"-")</f>
        <v>-</v>
      </c>
      <c r="L161" s="72" t="str">
        <f>IFERROR(VLOOKUP($A161,InvDump[#All],MATCH(L$3,InvDump[#Headers],0),FALSE),"-")</f>
        <v>-</v>
      </c>
      <c r="M161" s="72" t="str">
        <f>IFERROR(VLOOKUP($A161,InvDump[#All],MATCH(M$3,InvDump[#Headers],0),FALSE),"-")</f>
        <v>-</v>
      </c>
      <c r="N161" s="72" t="str">
        <f>IFERROR(VLOOKUP($A161,InvDump[#All],MATCH(N$3,InvDump[#Headers],0),FALSE),"-")</f>
        <v>-</v>
      </c>
      <c r="O161" s="72" t="str">
        <f>IFERROR(VLOOKUP($A161,InvDump[#All],MATCH(O$3,InvDump[#Headers],0),FALSE),"-")</f>
        <v>-</v>
      </c>
      <c r="P161" s="73" t="str">
        <f>IFERROR(VLOOKUP($A161,InvDump[#All],MATCH(P$3,InvDump[#Headers],0),FALSE),"")</f>
        <v/>
      </c>
      <c r="Q161" s="73" t="str">
        <f>IFERROR(VLOOKUP($A161,InvDump[#All],MATCH(Q$3,InvDump[#Headers],0),FALSE),"")</f>
        <v/>
      </c>
      <c r="R161" s="73" t="str">
        <f>IFERROR(IF(VLOOKUP($A161,InvDump[#All],MATCH(R$3,InvDump[#Headers],0),FALSE)=0,"",VLOOKUP($A161,InvDump[#All],MATCH(R$3,InvDump[#Headers],0),FALSE)),"")</f>
        <v/>
      </c>
      <c r="S161" s="75" t="str">
        <f>IFERROR(IF(InvDump[[#This Row],[Annexure]]="Yes",VLOOKUP($A161,InvDump[#All],21,FALSE)&amp;"; "&amp;VLOOKUP($A161,InvDump[#All],23,FALSE),VLOOKUP($A161,InvDump[#All],21,FALSE)),"")</f>
        <v/>
      </c>
    </row>
    <row r="162" spans="2:19" ht="15" thickBot="1" x14ac:dyDescent="0.35">
      <c r="B162" s="69" t="str">
        <f>IFERROR(VLOOKUP($A162,InvDump[#All],MATCH(B$3,InvDump[#Headers],0),FALSE),"-")</f>
        <v>-</v>
      </c>
      <c r="C162" s="70" t="str">
        <f>IFERROR(VLOOKUP($A162,InvDump[#All],MATCH(C$3,InvDump[#Headers],0),FALSE),"-")</f>
        <v>-</v>
      </c>
      <c r="D162" s="69" t="str">
        <f>IFERROR(VLOOKUP($A162,InvDump[#All],MATCH(D$3,InvDump[#Headers],0),FALSE),"-")</f>
        <v>-</v>
      </c>
      <c r="E162" s="69" t="str">
        <f>IFERROR(VLOOKUP($A162,InvDump[#All],MATCH(E$3,InvDump[#Headers],0),FALSE),"-")</f>
        <v>-</v>
      </c>
      <c r="F162" s="69" t="str">
        <f>IFERROR(VLOOKUP($A162,InvDump[#All],MATCH(F$3,InvDump[#Headers],0),FALSE),"-")</f>
        <v>-</v>
      </c>
      <c r="G162" s="69" t="str">
        <f>IFERROR(VLOOKUP($A162,InvDump[#All],MATCH(G$3,InvDump[#Headers],0),FALSE),"-")</f>
        <v>-</v>
      </c>
      <c r="H162" s="74" t="str">
        <f>IFERROR(VLOOKUP(G162,CustomerData!$B$4:$D$13,3),"-")</f>
        <v>-</v>
      </c>
      <c r="I162" s="69" t="str">
        <f>IFERROR(VLOOKUP($A162,InvDump[#All],MATCH(I$3,InvDump[#Headers],0),FALSE),"-")</f>
        <v>-</v>
      </c>
      <c r="J162" s="69" t="str">
        <f>IFERROR(VLOOKUP($A162,InvDump[#All],MATCH(J$3,InvDump[#Headers],0),FALSE),"-")</f>
        <v>-</v>
      </c>
      <c r="K162" s="69" t="str">
        <f>IFERROR(VLOOKUP($A162,InvDump[#All],MATCH(K$3,InvDump[#Headers],0),FALSE),"-")</f>
        <v>-</v>
      </c>
      <c r="L162" s="72" t="str">
        <f>IFERROR(VLOOKUP($A162,InvDump[#All],MATCH(L$3,InvDump[#Headers],0),FALSE),"-")</f>
        <v>-</v>
      </c>
      <c r="M162" s="72" t="str">
        <f>IFERROR(VLOOKUP($A162,InvDump[#All],MATCH(M$3,InvDump[#Headers],0),FALSE),"-")</f>
        <v>-</v>
      </c>
      <c r="N162" s="72" t="str">
        <f>IFERROR(VLOOKUP($A162,InvDump[#All],MATCH(N$3,InvDump[#Headers],0),FALSE),"-")</f>
        <v>-</v>
      </c>
      <c r="O162" s="72" t="str">
        <f>IFERROR(VLOOKUP($A162,InvDump[#All],MATCH(O$3,InvDump[#Headers],0),FALSE),"-")</f>
        <v>-</v>
      </c>
      <c r="P162" s="73" t="str">
        <f>IFERROR(VLOOKUP($A162,InvDump[#All],MATCH(P$3,InvDump[#Headers],0),FALSE),"")</f>
        <v/>
      </c>
      <c r="Q162" s="73" t="str">
        <f>IFERROR(VLOOKUP($A162,InvDump[#All],MATCH(Q$3,InvDump[#Headers],0),FALSE),"")</f>
        <v/>
      </c>
      <c r="R162" s="73" t="str">
        <f>IFERROR(IF(VLOOKUP($A162,InvDump[#All],MATCH(R$3,InvDump[#Headers],0),FALSE)=0,"",VLOOKUP($A162,InvDump[#All],MATCH(R$3,InvDump[#Headers],0),FALSE)),"")</f>
        <v/>
      </c>
      <c r="S162" s="75" t="str">
        <f>IFERROR(IF(InvDump[[#This Row],[Annexure]]="Yes",VLOOKUP($A162,InvDump[#All],21,FALSE)&amp;"; "&amp;VLOOKUP($A162,InvDump[#All],23,FALSE),VLOOKUP($A162,InvDump[#All],21,FALSE)),"")</f>
        <v/>
      </c>
    </row>
    <row r="163" spans="2:19" ht="15" thickBot="1" x14ac:dyDescent="0.35">
      <c r="B163" s="69" t="str">
        <f>IFERROR(VLOOKUP($A163,InvDump[#All],MATCH(B$3,InvDump[#Headers],0),FALSE),"-")</f>
        <v>-</v>
      </c>
      <c r="C163" s="70" t="str">
        <f>IFERROR(VLOOKUP($A163,InvDump[#All],MATCH(C$3,InvDump[#Headers],0),FALSE),"-")</f>
        <v>-</v>
      </c>
      <c r="D163" s="69" t="str">
        <f>IFERROR(VLOOKUP($A163,InvDump[#All],MATCH(D$3,InvDump[#Headers],0),FALSE),"-")</f>
        <v>-</v>
      </c>
      <c r="E163" s="69" t="str">
        <f>IFERROR(VLOOKUP($A163,InvDump[#All],MATCH(E$3,InvDump[#Headers],0),FALSE),"-")</f>
        <v>-</v>
      </c>
      <c r="F163" s="69" t="str">
        <f>IFERROR(VLOOKUP($A163,InvDump[#All],MATCH(F$3,InvDump[#Headers],0),FALSE),"-")</f>
        <v>-</v>
      </c>
      <c r="G163" s="69" t="str">
        <f>IFERROR(VLOOKUP($A163,InvDump[#All],MATCH(G$3,InvDump[#Headers],0),FALSE),"-")</f>
        <v>-</v>
      </c>
      <c r="H163" s="74" t="str">
        <f>IFERROR(VLOOKUP(G163,CustomerData!$B$4:$D$13,3),"-")</f>
        <v>-</v>
      </c>
      <c r="I163" s="69" t="str">
        <f>IFERROR(VLOOKUP($A163,InvDump[#All],MATCH(I$3,InvDump[#Headers],0),FALSE),"-")</f>
        <v>-</v>
      </c>
      <c r="J163" s="69" t="str">
        <f>IFERROR(VLOOKUP($A163,InvDump[#All],MATCH(J$3,InvDump[#Headers],0),FALSE),"-")</f>
        <v>-</v>
      </c>
      <c r="K163" s="69" t="str">
        <f>IFERROR(VLOOKUP($A163,InvDump[#All],MATCH(K$3,InvDump[#Headers],0),FALSE),"-")</f>
        <v>-</v>
      </c>
      <c r="L163" s="72" t="str">
        <f>IFERROR(VLOOKUP($A163,InvDump[#All],MATCH(L$3,InvDump[#Headers],0),FALSE),"-")</f>
        <v>-</v>
      </c>
      <c r="M163" s="72" t="str">
        <f>IFERROR(VLOOKUP($A163,InvDump[#All],MATCH(M$3,InvDump[#Headers],0),FALSE),"-")</f>
        <v>-</v>
      </c>
      <c r="N163" s="72" t="str">
        <f>IFERROR(VLOOKUP($A163,InvDump[#All],MATCH(N$3,InvDump[#Headers],0),FALSE),"-")</f>
        <v>-</v>
      </c>
      <c r="O163" s="72" t="str">
        <f>IFERROR(VLOOKUP($A163,InvDump[#All],MATCH(O$3,InvDump[#Headers],0),FALSE),"-")</f>
        <v>-</v>
      </c>
      <c r="P163" s="73" t="str">
        <f>IFERROR(VLOOKUP($A163,InvDump[#All],MATCH(P$3,InvDump[#Headers],0),FALSE),"")</f>
        <v/>
      </c>
      <c r="Q163" s="73" t="str">
        <f>IFERROR(VLOOKUP($A163,InvDump[#All],MATCH(Q$3,InvDump[#Headers],0),FALSE),"")</f>
        <v/>
      </c>
      <c r="R163" s="73" t="str">
        <f>IFERROR(IF(VLOOKUP($A163,InvDump[#All],MATCH(R$3,InvDump[#Headers],0),FALSE)=0,"",VLOOKUP($A163,InvDump[#All],MATCH(R$3,InvDump[#Headers],0),FALSE)),"")</f>
        <v/>
      </c>
      <c r="S163" s="75" t="str">
        <f>IFERROR(IF(InvDump[[#This Row],[Annexure]]="Yes",VLOOKUP($A163,InvDump[#All],21,FALSE)&amp;"; "&amp;VLOOKUP($A163,InvDump[#All],23,FALSE),VLOOKUP($A163,InvDump[#All],21,FALSE)),"")</f>
        <v/>
      </c>
    </row>
    <row r="164" spans="2:19" ht="15" thickBot="1" x14ac:dyDescent="0.35">
      <c r="B164" s="69" t="str">
        <f>IFERROR(VLOOKUP($A164,InvDump[#All],MATCH(B$3,InvDump[#Headers],0),FALSE),"-")</f>
        <v>-</v>
      </c>
      <c r="C164" s="70" t="str">
        <f>IFERROR(VLOOKUP($A164,InvDump[#All],MATCH(C$3,InvDump[#Headers],0),FALSE),"-")</f>
        <v>-</v>
      </c>
      <c r="D164" s="69" t="str">
        <f>IFERROR(VLOOKUP($A164,InvDump[#All],MATCH(D$3,InvDump[#Headers],0),FALSE),"-")</f>
        <v>-</v>
      </c>
      <c r="E164" s="69" t="str">
        <f>IFERROR(VLOOKUP($A164,InvDump[#All],MATCH(E$3,InvDump[#Headers],0),FALSE),"-")</f>
        <v>-</v>
      </c>
      <c r="F164" s="69" t="str">
        <f>IFERROR(VLOOKUP($A164,InvDump[#All],MATCH(F$3,InvDump[#Headers],0),FALSE),"-")</f>
        <v>-</v>
      </c>
      <c r="G164" s="69" t="str">
        <f>IFERROR(VLOOKUP($A164,InvDump[#All],MATCH(G$3,InvDump[#Headers],0),FALSE),"-")</f>
        <v>-</v>
      </c>
      <c r="H164" s="74" t="str">
        <f>IFERROR(VLOOKUP(G164,CustomerData!$B$4:$D$13,3),"-")</f>
        <v>-</v>
      </c>
      <c r="I164" s="69" t="str">
        <f>IFERROR(VLOOKUP($A164,InvDump[#All],MATCH(I$3,InvDump[#Headers],0),FALSE),"-")</f>
        <v>-</v>
      </c>
      <c r="J164" s="69" t="str">
        <f>IFERROR(VLOOKUP($A164,InvDump[#All],MATCH(J$3,InvDump[#Headers],0),FALSE),"-")</f>
        <v>-</v>
      </c>
      <c r="K164" s="69" t="str">
        <f>IFERROR(VLOOKUP($A164,InvDump[#All],MATCH(K$3,InvDump[#Headers],0),FALSE),"-")</f>
        <v>-</v>
      </c>
      <c r="L164" s="72" t="str">
        <f>IFERROR(VLOOKUP($A164,InvDump[#All],MATCH(L$3,InvDump[#Headers],0),FALSE),"-")</f>
        <v>-</v>
      </c>
      <c r="M164" s="72" t="str">
        <f>IFERROR(VLOOKUP($A164,InvDump[#All],MATCH(M$3,InvDump[#Headers],0),FALSE),"-")</f>
        <v>-</v>
      </c>
      <c r="N164" s="72" t="str">
        <f>IFERROR(VLOOKUP($A164,InvDump[#All],MATCH(N$3,InvDump[#Headers],0),FALSE),"-")</f>
        <v>-</v>
      </c>
      <c r="O164" s="72" t="str">
        <f>IFERROR(VLOOKUP($A164,InvDump[#All],MATCH(O$3,InvDump[#Headers],0),FALSE),"-")</f>
        <v>-</v>
      </c>
      <c r="P164" s="73" t="str">
        <f>IFERROR(VLOOKUP($A164,InvDump[#All],MATCH(P$3,InvDump[#Headers],0),FALSE),"")</f>
        <v/>
      </c>
      <c r="Q164" s="73" t="str">
        <f>IFERROR(VLOOKUP($A164,InvDump[#All],MATCH(Q$3,InvDump[#Headers],0),FALSE),"")</f>
        <v/>
      </c>
      <c r="R164" s="73" t="str">
        <f>IFERROR(IF(VLOOKUP($A164,InvDump[#All],MATCH(R$3,InvDump[#Headers],0),FALSE)=0,"",VLOOKUP($A164,InvDump[#All],MATCH(R$3,InvDump[#Headers],0),FALSE)),"")</f>
        <v/>
      </c>
      <c r="S164" s="75" t="str">
        <f>IFERROR(IF(InvDump[[#This Row],[Annexure]]="Yes",VLOOKUP($A164,InvDump[#All],21,FALSE)&amp;"; "&amp;VLOOKUP($A164,InvDump[#All],23,FALSE),VLOOKUP($A164,InvDump[#All],21,FALSE)),"")</f>
        <v/>
      </c>
    </row>
    <row r="165" spans="2:19" ht="15" thickBot="1" x14ac:dyDescent="0.35">
      <c r="B165" s="69" t="str">
        <f>IFERROR(VLOOKUP($A165,InvDump[#All],MATCH(B$3,InvDump[#Headers],0),FALSE),"-")</f>
        <v>-</v>
      </c>
      <c r="C165" s="70" t="str">
        <f>IFERROR(VLOOKUP($A165,InvDump[#All],MATCH(C$3,InvDump[#Headers],0),FALSE),"-")</f>
        <v>-</v>
      </c>
      <c r="D165" s="69" t="str">
        <f>IFERROR(VLOOKUP($A165,InvDump[#All],MATCH(D$3,InvDump[#Headers],0),FALSE),"-")</f>
        <v>-</v>
      </c>
      <c r="E165" s="69" t="str">
        <f>IFERROR(VLOOKUP($A165,InvDump[#All],MATCH(E$3,InvDump[#Headers],0),FALSE),"-")</f>
        <v>-</v>
      </c>
      <c r="F165" s="69" t="str">
        <f>IFERROR(VLOOKUP($A165,InvDump[#All],MATCH(F$3,InvDump[#Headers],0),FALSE),"-")</f>
        <v>-</v>
      </c>
      <c r="G165" s="69" t="str">
        <f>IFERROR(VLOOKUP($A165,InvDump[#All],MATCH(G$3,InvDump[#Headers],0),FALSE),"-")</f>
        <v>-</v>
      </c>
      <c r="H165" s="74" t="str">
        <f>IFERROR(VLOOKUP(G165,CustomerData!$B$4:$D$13,3),"-")</f>
        <v>-</v>
      </c>
      <c r="I165" s="69" t="str">
        <f>IFERROR(VLOOKUP($A165,InvDump[#All],MATCH(I$3,InvDump[#Headers],0),FALSE),"-")</f>
        <v>-</v>
      </c>
      <c r="J165" s="69" t="str">
        <f>IFERROR(VLOOKUP($A165,InvDump[#All],MATCH(J$3,InvDump[#Headers],0),FALSE),"-")</f>
        <v>-</v>
      </c>
      <c r="K165" s="69" t="str">
        <f>IFERROR(VLOOKUP($A165,InvDump[#All],MATCH(K$3,InvDump[#Headers],0),FALSE),"-")</f>
        <v>-</v>
      </c>
      <c r="L165" s="72" t="str">
        <f>IFERROR(VLOOKUP($A165,InvDump[#All],MATCH(L$3,InvDump[#Headers],0),FALSE),"-")</f>
        <v>-</v>
      </c>
      <c r="M165" s="72" t="str">
        <f>IFERROR(VLOOKUP($A165,InvDump[#All],MATCH(M$3,InvDump[#Headers],0),FALSE),"-")</f>
        <v>-</v>
      </c>
      <c r="N165" s="72" t="str">
        <f>IFERROR(VLOOKUP($A165,InvDump[#All],MATCH(N$3,InvDump[#Headers],0),FALSE),"-")</f>
        <v>-</v>
      </c>
      <c r="O165" s="72" t="str">
        <f>IFERROR(VLOOKUP($A165,InvDump[#All],MATCH(O$3,InvDump[#Headers],0),FALSE),"-")</f>
        <v>-</v>
      </c>
      <c r="P165" s="73" t="str">
        <f>IFERROR(VLOOKUP($A165,InvDump[#All],MATCH(P$3,InvDump[#Headers],0),FALSE),"")</f>
        <v/>
      </c>
      <c r="Q165" s="73" t="str">
        <f>IFERROR(VLOOKUP($A165,InvDump[#All],MATCH(Q$3,InvDump[#Headers],0),FALSE),"")</f>
        <v/>
      </c>
      <c r="R165" s="73" t="str">
        <f>IFERROR(IF(VLOOKUP($A165,InvDump[#All],MATCH(R$3,InvDump[#Headers],0),FALSE)=0,"",VLOOKUP($A165,InvDump[#All],MATCH(R$3,InvDump[#Headers],0),FALSE)),"")</f>
        <v/>
      </c>
      <c r="S165" s="75" t="str">
        <f>IFERROR(IF(InvDump[[#This Row],[Annexure]]="Yes",VLOOKUP($A165,InvDump[#All],21,FALSE)&amp;"; "&amp;VLOOKUP($A165,InvDump[#All],23,FALSE),VLOOKUP($A165,InvDump[#All],21,FALSE)),"")</f>
        <v/>
      </c>
    </row>
    <row r="166" spans="2:19" ht="15" thickBot="1" x14ac:dyDescent="0.35">
      <c r="B166" s="69" t="str">
        <f>IFERROR(VLOOKUP($A166,InvDump[#All],MATCH(B$3,InvDump[#Headers],0),FALSE),"-")</f>
        <v>-</v>
      </c>
      <c r="C166" s="70" t="str">
        <f>IFERROR(VLOOKUP($A166,InvDump[#All],MATCH(C$3,InvDump[#Headers],0),FALSE),"-")</f>
        <v>-</v>
      </c>
      <c r="D166" s="69" t="str">
        <f>IFERROR(VLOOKUP($A166,InvDump[#All],MATCH(D$3,InvDump[#Headers],0),FALSE),"-")</f>
        <v>-</v>
      </c>
      <c r="E166" s="69" t="str">
        <f>IFERROR(VLOOKUP($A166,InvDump[#All],MATCH(E$3,InvDump[#Headers],0),FALSE),"-")</f>
        <v>-</v>
      </c>
      <c r="F166" s="69" t="str">
        <f>IFERROR(VLOOKUP($A166,InvDump[#All],MATCH(F$3,InvDump[#Headers],0),FALSE),"-")</f>
        <v>-</v>
      </c>
      <c r="G166" s="69" t="str">
        <f>IFERROR(VLOOKUP($A166,InvDump[#All],MATCH(G$3,InvDump[#Headers],0),FALSE),"-")</f>
        <v>-</v>
      </c>
      <c r="H166" s="74" t="str">
        <f>IFERROR(VLOOKUP(G166,CustomerData!$B$4:$D$13,3),"-")</f>
        <v>-</v>
      </c>
      <c r="I166" s="69" t="str">
        <f>IFERROR(VLOOKUP($A166,InvDump[#All],MATCH(I$3,InvDump[#Headers],0),FALSE),"-")</f>
        <v>-</v>
      </c>
      <c r="J166" s="69" t="str">
        <f>IFERROR(VLOOKUP($A166,InvDump[#All],MATCH(J$3,InvDump[#Headers],0),FALSE),"-")</f>
        <v>-</v>
      </c>
      <c r="K166" s="69" t="str">
        <f>IFERROR(VLOOKUP($A166,InvDump[#All],MATCH(K$3,InvDump[#Headers],0),FALSE),"-")</f>
        <v>-</v>
      </c>
      <c r="L166" s="72" t="str">
        <f>IFERROR(VLOOKUP($A166,InvDump[#All],MATCH(L$3,InvDump[#Headers],0),FALSE),"-")</f>
        <v>-</v>
      </c>
      <c r="M166" s="72" t="str">
        <f>IFERROR(VLOOKUP($A166,InvDump[#All],MATCH(M$3,InvDump[#Headers],0),FALSE),"-")</f>
        <v>-</v>
      </c>
      <c r="N166" s="72" t="str">
        <f>IFERROR(VLOOKUP($A166,InvDump[#All],MATCH(N$3,InvDump[#Headers],0),FALSE),"-")</f>
        <v>-</v>
      </c>
      <c r="O166" s="72" t="str">
        <f>IFERROR(VLOOKUP($A166,InvDump[#All],MATCH(O$3,InvDump[#Headers],0),FALSE),"-")</f>
        <v>-</v>
      </c>
      <c r="P166" s="73" t="str">
        <f>IFERROR(VLOOKUP($A166,InvDump[#All],MATCH(P$3,InvDump[#Headers],0),FALSE),"")</f>
        <v/>
      </c>
      <c r="Q166" s="73" t="str">
        <f>IFERROR(VLOOKUP($A166,InvDump[#All],MATCH(Q$3,InvDump[#Headers],0),FALSE),"")</f>
        <v/>
      </c>
      <c r="R166" s="73" t="str">
        <f>IFERROR(IF(VLOOKUP($A166,InvDump[#All],MATCH(R$3,InvDump[#Headers],0),FALSE)=0,"",VLOOKUP($A166,InvDump[#All],MATCH(R$3,InvDump[#Headers],0),FALSE)),"")</f>
        <v/>
      </c>
      <c r="S166" s="75" t="str">
        <f>IFERROR(IF(InvDump[[#This Row],[Annexure]]="Yes",VLOOKUP($A166,InvDump[#All],21,FALSE)&amp;"; "&amp;VLOOKUP($A166,InvDump[#All],23,FALSE),VLOOKUP($A166,InvDump[#All],21,FALSE)),"")</f>
        <v/>
      </c>
    </row>
    <row r="167" spans="2:19" ht="15" thickBot="1" x14ac:dyDescent="0.35">
      <c r="B167" s="69" t="str">
        <f>IFERROR(VLOOKUP($A167,InvDump[#All],MATCH(B$3,InvDump[#Headers],0),FALSE),"-")</f>
        <v>-</v>
      </c>
      <c r="C167" s="70" t="str">
        <f>IFERROR(VLOOKUP($A167,InvDump[#All],MATCH(C$3,InvDump[#Headers],0),FALSE),"-")</f>
        <v>-</v>
      </c>
      <c r="D167" s="69" t="str">
        <f>IFERROR(VLOOKUP($A167,InvDump[#All],MATCH(D$3,InvDump[#Headers],0),FALSE),"-")</f>
        <v>-</v>
      </c>
      <c r="E167" s="69" t="str">
        <f>IFERROR(VLOOKUP($A167,InvDump[#All],MATCH(E$3,InvDump[#Headers],0),FALSE),"-")</f>
        <v>-</v>
      </c>
      <c r="F167" s="69" t="str">
        <f>IFERROR(VLOOKUP($A167,InvDump[#All],MATCH(F$3,InvDump[#Headers],0),FALSE),"-")</f>
        <v>-</v>
      </c>
      <c r="G167" s="69" t="str">
        <f>IFERROR(VLOOKUP($A167,InvDump[#All],MATCH(G$3,InvDump[#Headers],0),FALSE),"-")</f>
        <v>-</v>
      </c>
      <c r="H167" s="74" t="str">
        <f>IFERROR(VLOOKUP(G167,CustomerData!$B$4:$D$13,3),"-")</f>
        <v>-</v>
      </c>
      <c r="I167" s="69" t="str">
        <f>IFERROR(VLOOKUP($A167,InvDump[#All],MATCH(I$3,InvDump[#Headers],0),FALSE),"-")</f>
        <v>-</v>
      </c>
      <c r="J167" s="69" t="str">
        <f>IFERROR(VLOOKUP($A167,InvDump[#All],MATCH(J$3,InvDump[#Headers],0),FALSE),"-")</f>
        <v>-</v>
      </c>
      <c r="K167" s="69" t="str">
        <f>IFERROR(VLOOKUP($A167,InvDump[#All],MATCH(K$3,InvDump[#Headers],0),FALSE),"-")</f>
        <v>-</v>
      </c>
      <c r="L167" s="72" t="str">
        <f>IFERROR(VLOOKUP($A167,InvDump[#All],MATCH(L$3,InvDump[#Headers],0),FALSE),"-")</f>
        <v>-</v>
      </c>
      <c r="M167" s="72" t="str">
        <f>IFERROR(VLOOKUP($A167,InvDump[#All],MATCH(M$3,InvDump[#Headers],0),FALSE),"-")</f>
        <v>-</v>
      </c>
      <c r="N167" s="72" t="str">
        <f>IFERROR(VLOOKUP($A167,InvDump[#All],MATCH(N$3,InvDump[#Headers],0),FALSE),"-")</f>
        <v>-</v>
      </c>
      <c r="O167" s="72" t="str">
        <f>IFERROR(VLOOKUP($A167,InvDump[#All],MATCH(O$3,InvDump[#Headers],0),FALSE),"-")</f>
        <v>-</v>
      </c>
      <c r="P167" s="73" t="str">
        <f>IFERROR(VLOOKUP($A167,InvDump[#All],MATCH(P$3,InvDump[#Headers],0),FALSE),"")</f>
        <v/>
      </c>
      <c r="Q167" s="73" t="str">
        <f>IFERROR(VLOOKUP($A167,InvDump[#All],MATCH(Q$3,InvDump[#Headers],0),FALSE),"")</f>
        <v/>
      </c>
      <c r="R167" s="73" t="str">
        <f>IFERROR(IF(VLOOKUP($A167,InvDump[#All],MATCH(R$3,InvDump[#Headers],0),FALSE)=0,"",VLOOKUP($A167,InvDump[#All],MATCH(R$3,InvDump[#Headers],0),FALSE)),"")</f>
        <v/>
      </c>
      <c r="S167" s="75" t="str">
        <f>IFERROR(IF(InvDump[[#This Row],[Annexure]]="Yes",VLOOKUP($A167,InvDump[#All],21,FALSE)&amp;"; "&amp;VLOOKUP($A167,InvDump[#All],23,FALSE),VLOOKUP($A167,InvDump[#All],21,FALSE)),"")</f>
        <v/>
      </c>
    </row>
    <row r="168" spans="2:19" ht="15" thickBot="1" x14ac:dyDescent="0.35">
      <c r="B168" s="69" t="str">
        <f>IFERROR(VLOOKUP($A168,InvDump[#All],MATCH(B$3,InvDump[#Headers],0),FALSE),"-")</f>
        <v>-</v>
      </c>
      <c r="C168" s="70" t="str">
        <f>IFERROR(VLOOKUP($A168,InvDump[#All],MATCH(C$3,InvDump[#Headers],0),FALSE),"-")</f>
        <v>-</v>
      </c>
      <c r="D168" s="69" t="str">
        <f>IFERROR(VLOOKUP($A168,InvDump[#All],MATCH(D$3,InvDump[#Headers],0),FALSE),"-")</f>
        <v>-</v>
      </c>
      <c r="E168" s="69" t="str">
        <f>IFERROR(VLOOKUP($A168,InvDump[#All],MATCH(E$3,InvDump[#Headers],0),FALSE),"-")</f>
        <v>-</v>
      </c>
      <c r="F168" s="69" t="str">
        <f>IFERROR(VLOOKUP($A168,InvDump[#All],MATCH(F$3,InvDump[#Headers],0),FALSE),"-")</f>
        <v>-</v>
      </c>
      <c r="G168" s="69" t="str">
        <f>IFERROR(VLOOKUP($A168,InvDump[#All],MATCH(G$3,InvDump[#Headers],0),FALSE),"-")</f>
        <v>-</v>
      </c>
      <c r="H168" s="74" t="str">
        <f>IFERROR(VLOOKUP(G168,CustomerData!$B$4:$D$13,3),"-")</f>
        <v>-</v>
      </c>
      <c r="I168" s="69" t="str">
        <f>IFERROR(VLOOKUP($A168,InvDump[#All],MATCH(I$3,InvDump[#Headers],0),FALSE),"-")</f>
        <v>-</v>
      </c>
      <c r="J168" s="69" t="str">
        <f>IFERROR(VLOOKUP($A168,InvDump[#All],MATCH(J$3,InvDump[#Headers],0),FALSE),"-")</f>
        <v>-</v>
      </c>
      <c r="K168" s="69" t="str">
        <f>IFERROR(VLOOKUP($A168,InvDump[#All],MATCH(K$3,InvDump[#Headers],0),FALSE),"-")</f>
        <v>-</v>
      </c>
      <c r="L168" s="72" t="str">
        <f>IFERROR(VLOOKUP($A168,InvDump[#All],MATCH(L$3,InvDump[#Headers],0),FALSE),"-")</f>
        <v>-</v>
      </c>
      <c r="M168" s="72" t="str">
        <f>IFERROR(VLOOKUP($A168,InvDump[#All],MATCH(M$3,InvDump[#Headers],0),FALSE),"-")</f>
        <v>-</v>
      </c>
      <c r="N168" s="72" t="str">
        <f>IFERROR(VLOOKUP($A168,InvDump[#All],MATCH(N$3,InvDump[#Headers],0),FALSE),"-")</f>
        <v>-</v>
      </c>
      <c r="O168" s="72" t="str">
        <f>IFERROR(VLOOKUP($A168,InvDump[#All],MATCH(O$3,InvDump[#Headers],0),FALSE),"-")</f>
        <v>-</v>
      </c>
      <c r="P168" s="73" t="str">
        <f>IFERROR(VLOOKUP($A168,InvDump[#All],MATCH(P$3,InvDump[#Headers],0),FALSE),"")</f>
        <v/>
      </c>
      <c r="Q168" s="73" t="str">
        <f>IFERROR(VLOOKUP($A168,InvDump[#All],MATCH(Q$3,InvDump[#Headers],0),FALSE),"")</f>
        <v/>
      </c>
      <c r="R168" s="73" t="str">
        <f>IFERROR(IF(VLOOKUP($A168,InvDump[#All],MATCH(R$3,InvDump[#Headers],0),FALSE)=0,"",VLOOKUP($A168,InvDump[#All],MATCH(R$3,InvDump[#Headers],0),FALSE)),"")</f>
        <v/>
      </c>
      <c r="S168" s="75" t="str">
        <f>IFERROR(IF(InvDump[[#This Row],[Annexure]]="Yes",VLOOKUP($A168,InvDump[#All],21,FALSE)&amp;"; "&amp;VLOOKUP($A168,InvDump[#All],23,FALSE),VLOOKUP($A168,InvDump[#All],21,FALSE)),"")</f>
        <v/>
      </c>
    </row>
    <row r="169" spans="2:19" ht="15" thickBot="1" x14ac:dyDescent="0.35">
      <c r="B169" s="69" t="str">
        <f>IFERROR(VLOOKUP($A169,InvDump[#All],MATCH(B$3,InvDump[#Headers],0),FALSE),"-")</f>
        <v>-</v>
      </c>
      <c r="C169" s="70" t="str">
        <f>IFERROR(VLOOKUP($A169,InvDump[#All],MATCH(C$3,InvDump[#Headers],0),FALSE),"-")</f>
        <v>-</v>
      </c>
      <c r="D169" s="69" t="str">
        <f>IFERROR(VLOOKUP($A169,InvDump[#All],MATCH(D$3,InvDump[#Headers],0),FALSE),"-")</f>
        <v>-</v>
      </c>
      <c r="E169" s="69" t="str">
        <f>IFERROR(VLOOKUP($A169,InvDump[#All],MATCH(E$3,InvDump[#Headers],0),FALSE),"-")</f>
        <v>-</v>
      </c>
      <c r="F169" s="69" t="str">
        <f>IFERROR(VLOOKUP($A169,InvDump[#All],MATCH(F$3,InvDump[#Headers],0),FALSE),"-")</f>
        <v>-</v>
      </c>
      <c r="G169" s="69" t="str">
        <f>IFERROR(VLOOKUP($A169,InvDump[#All],MATCH(G$3,InvDump[#Headers],0),FALSE),"-")</f>
        <v>-</v>
      </c>
      <c r="H169" s="74" t="str">
        <f>IFERROR(VLOOKUP(G169,CustomerData!$B$4:$D$13,3),"-")</f>
        <v>-</v>
      </c>
      <c r="I169" s="69" t="str">
        <f>IFERROR(VLOOKUP($A169,InvDump[#All],MATCH(I$3,InvDump[#Headers],0),FALSE),"-")</f>
        <v>-</v>
      </c>
      <c r="J169" s="69" t="str">
        <f>IFERROR(VLOOKUP($A169,InvDump[#All],MATCH(J$3,InvDump[#Headers],0),FALSE),"-")</f>
        <v>-</v>
      </c>
      <c r="K169" s="69" t="str">
        <f>IFERROR(VLOOKUP($A169,InvDump[#All],MATCH(K$3,InvDump[#Headers],0),FALSE),"-")</f>
        <v>-</v>
      </c>
      <c r="L169" s="72" t="str">
        <f>IFERROR(VLOOKUP($A169,InvDump[#All],MATCH(L$3,InvDump[#Headers],0),FALSE),"-")</f>
        <v>-</v>
      </c>
      <c r="M169" s="72" t="str">
        <f>IFERROR(VLOOKUP($A169,InvDump[#All],MATCH(M$3,InvDump[#Headers],0),FALSE),"-")</f>
        <v>-</v>
      </c>
      <c r="N169" s="72" t="str">
        <f>IFERROR(VLOOKUP($A169,InvDump[#All],MATCH(N$3,InvDump[#Headers],0),FALSE),"-")</f>
        <v>-</v>
      </c>
      <c r="O169" s="72" t="str">
        <f>IFERROR(VLOOKUP($A169,InvDump[#All],MATCH(O$3,InvDump[#Headers],0),FALSE),"-")</f>
        <v>-</v>
      </c>
      <c r="P169" s="73" t="str">
        <f>IFERROR(VLOOKUP($A169,InvDump[#All],MATCH(P$3,InvDump[#Headers],0),FALSE),"")</f>
        <v/>
      </c>
      <c r="Q169" s="73" t="str">
        <f>IFERROR(VLOOKUP($A169,InvDump[#All],MATCH(Q$3,InvDump[#Headers],0),FALSE),"")</f>
        <v/>
      </c>
      <c r="R169" s="73" t="str">
        <f>IFERROR(IF(VLOOKUP($A169,InvDump[#All],MATCH(R$3,InvDump[#Headers],0),FALSE)=0,"",VLOOKUP($A169,InvDump[#All],MATCH(R$3,InvDump[#Headers],0),FALSE)),"")</f>
        <v/>
      </c>
      <c r="S169" s="75" t="str">
        <f>IFERROR(IF(InvDump[[#This Row],[Annexure]]="Yes",VLOOKUP($A169,InvDump[#All],21,FALSE)&amp;"; "&amp;VLOOKUP($A169,InvDump[#All],23,FALSE),VLOOKUP($A169,InvDump[#All],21,FALSE)),"")</f>
        <v/>
      </c>
    </row>
    <row r="170" spans="2:19" ht="15" thickBot="1" x14ac:dyDescent="0.35">
      <c r="B170" s="69" t="str">
        <f>IFERROR(VLOOKUP($A170,InvDump[#All],MATCH(B$3,InvDump[#Headers],0),FALSE),"-")</f>
        <v>-</v>
      </c>
      <c r="C170" s="70" t="str">
        <f>IFERROR(VLOOKUP($A170,InvDump[#All],MATCH(C$3,InvDump[#Headers],0),FALSE),"-")</f>
        <v>-</v>
      </c>
      <c r="D170" s="69" t="str">
        <f>IFERROR(VLOOKUP($A170,InvDump[#All],MATCH(D$3,InvDump[#Headers],0),FALSE),"-")</f>
        <v>-</v>
      </c>
      <c r="E170" s="69" t="str">
        <f>IFERROR(VLOOKUP($A170,InvDump[#All],MATCH(E$3,InvDump[#Headers],0),FALSE),"-")</f>
        <v>-</v>
      </c>
      <c r="F170" s="69" t="str">
        <f>IFERROR(VLOOKUP($A170,InvDump[#All],MATCH(F$3,InvDump[#Headers],0),FALSE),"-")</f>
        <v>-</v>
      </c>
      <c r="G170" s="69" t="str">
        <f>IFERROR(VLOOKUP($A170,InvDump[#All],MATCH(G$3,InvDump[#Headers],0),FALSE),"-")</f>
        <v>-</v>
      </c>
      <c r="H170" s="74" t="str">
        <f>IFERROR(VLOOKUP(G170,CustomerData!$B$4:$D$13,3),"-")</f>
        <v>-</v>
      </c>
      <c r="I170" s="69" t="str">
        <f>IFERROR(VLOOKUP($A170,InvDump[#All],MATCH(I$3,InvDump[#Headers],0),FALSE),"-")</f>
        <v>-</v>
      </c>
      <c r="J170" s="69" t="str">
        <f>IFERROR(VLOOKUP($A170,InvDump[#All],MATCH(J$3,InvDump[#Headers],0),FALSE),"-")</f>
        <v>-</v>
      </c>
      <c r="K170" s="69" t="str">
        <f>IFERROR(VLOOKUP($A170,InvDump[#All],MATCH(K$3,InvDump[#Headers],0),FALSE),"-")</f>
        <v>-</v>
      </c>
      <c r="L170" s="72" t="str">
        <f>IFERROR(VLOOKUP($A170,InvDump[#All],MATCH(L$3,InvDump[#Headers],0),FALSE),"-")</f>
        <v>-</v>
      </c>
      <c r="M170" s="72" t="str">
        <f>IFERROR(VLOOKUP($A170,InvDump[#All],MATCH(M$3,InvDump[#Headers],0),FALSE),"-")</f>
        <v>-</v>
      </c>
      <c r="N170" s="72" t="str">
        <f>IFERROR(VLOOKUP($A170,InvDump[#All],MATCH(N$3,InvDump[#Headers],0),FALSE),"-")</f>
        <v>-</v>
      </c>
      <c r="O170" s="72" t="str">
        <f>IFERROR(VLOOKUP($A170,InvDump[#All],MATCH(O$3,InvDump[#Headers],0),FALSE),"-")</f>
        <v>-</v>
      </c>
      <c r="P170" s="73" t="str">
        <f>IFERROR(VLOOKUP($A170,InvDump[#All],MATCH(P$3,InvDump[#Headers],0),FALSE),"")</f>
        <v/>
      </c>
      <c r="Q170" s="73" t="str">
        <f>IFERROR(VLOOKUP($A170,InvDump[#All],MATCH(Q$3,InvDump[#Headers],0),FALSE),"")</f>
        <v/>
      </c>
      <c r="R170" s="73" t="str">
        <f>IFERROR(IF(VLOOKUP($A170,InvDump[#All],MATCH(R$3,InvDump[#Headers],0),FALSE)=0,"",VLOOKUP($A170,InvDump[#All],MATCH(R$3,InvDump[#Headers],0),FALSE)),"")</f>
        <v/>
      </c>
      <c r="S170" s="75" t="str">
        <f>IFERROR(IF(InvDump[[#This Row],[Annexure]]="Yes",VLOOKUP($A170,InvDump[#All],21,FALSE)&amp;"; "&amp;VLOOKUP($A170,InvDump[#All],23,FALSE),VLOOKUP($A170,InvDump[#All],21,FALSE)),"")</f>
        <v/>
      </c>
    </row>
    <row r="171" spans="2:19" ht="15" thickBot="1" x14ac:dyDescent="0.35">
      <c r="B171" s="69" t="str">
        <f>IFERROR(VLOOKUP($A171,InvDump[#All],MATCH(B$3,InvDump[#Headers],0),FALSE),"-")</f>
        <v>-</v>
      </c>
      <c r="C171" s="70" t="str">
        <f>IFERROR(VLOOKUP($A171,InvDump[#All],MATCH(C$3,InvDump[#Headers],0),FALSE),"-")</f>
        <v>-</v>
      </c>
      <c r="D171" s="69" t="str">
        <f>IFERROR(VLOOKUP($A171,InvDump[#All],MATCH(D$3,InvDump[#Headers],0),FALSE),"-")</f>
        <v>-</v>
      </c>
      <c r="E171" s="69" t="str">
        <f>IFERROR(VLOOKUP($A171,InvDump[#All],MATCH(E$3,InvDump[#Headers],0),FALSE),"-")</f>
        <v>-</v>
      </c>
      <c r="F171" s="69" t="str">
        <f>IFERROR(VLOOKUP($A171,InvDump[#All],MATCH(F$3,InvDump[#Headers],0),FALSE),"-")</f>
        <v>-</v>
      </c>
      <c r="G171" s="69" t="str">
        <f>IFERROR(VLOOKUP($A171,InvDump[#All],MATCH(G$3,InvDump[#Headers],0),FALSE),"-")</f>
        <v>-</v>
      </c>
      <c r="H171" s="74" t="str">
        <f>IFERROR(VLOOKUP(G171,CustomerData!$B$4:$D$13,3),"-")</f>
        <v>-</v>
      </c>
      <c r="I171" s="69" t="str">
        <f>IFERROR(VLOOKUP($A171,InvDump[#All],MATCH(I$3,InvDump[#Headers],0),FALSE),"-")</f>
        <v>-</v>
      </c>
      <c r="J171" s="69" t="str">
        <f>IFERROR(VLOOKUP($A171,InvDump[#All],MATCH(J$3,InvDump[#Headers],0),FALSE),"-")</f>
        <v>-</v>
      </c>
      <c r="K171" s="69" t="str">
        <f>IFERROR(VLOOKUP($A171,InvDump[#All],MATCH(K$3,InvDump[#Headers],0),FALSE),"-")</f>
        <v>-</v>
      </c>
      <c r="L171" s="72" t="str">
        <f>IFERROR(VLOOKUP($A171,InvDump[#All],MATCH(L$3,InvDump[#Headers],0),FALSE),"-")</f>
        <v>-</v>
      </c>
      <c r="M171" s="72" t="str">
        <f>IFERROR(VLOOKUP($A171,InvDump[#All],MATCH(M$3,InvDump[#Headers],0),FALSE),"-")</f>
        <v>-</v>
      </c>
      <c r="N171" s="72" t="str">
        <f>IFERROR(VLOOKUP($A171,InvDump[#All],MATCH(N$3,InvDump[#Headers],0),FALSE),"-")</f>
        <v>-</v>
      </c>
      <c r="O171" s="72" t="str">
        <f>IFERROR(VLOOKUP($A171,InvDump[#All],MATCH(O$3,InvDump[#Headers],0),FALSE),"-")</f>
        <v>-</v>
      </c>
      <c r="P171" s="73" t="str">
        <f>IFERROR(VLOOKUP($A171,InvDump[#All],MATCH(P$3,InvDump[#Headers],0),FALSE),"")</f>
        <v/>
      </c>
      <c r="Q171" s="73" t="str">
        <f>IFERROR(VLOOKUP($A171,InvDump[#All],MATCH(Q$3,InvDump[#Headers],0),FALSE),"")</f>
        <v/>
      </c>
      <c r="R171" s="73" t="str">
        <f>IFERROR(IF(VLOOKUP($A171,InvDump[#All],MATCH(R$3,InvDump[#Headers],0),FALSE)=0,"",VLOOKUP($A171,InvDump[#All],MATCH(R$3,InvDump[#Headers],0),FALSE)),"")</f>
        <v/>
      </c>
      <c r="S171" s="75" t="str">
        <f>IFERROR(IF(InvDump[[#This Row],[Annexure]]="Yes",VLOOKUP($A171,InvDump[#All],21,FALSE)&amp;"; "&amp;VLOOKUP($A171,InvDump[#All],23,FALSE),VLOOKUP($A171,InvDump[#All],21,FALSE)),"")</f>
        <v/>
      </c>
    </row>
    <row r="172" spans="2:19" x14ac:dyDescent="0.3">
      <c r="B172" s="69" t="str">
        <f>IFERROR(VLOOKUP($A172,InvDump[#All],MATCH(B$3,InvDump[#Headers],0),FALSE),"-")</f>
        <v>-</v>
      </c>
      <c r="C172" s="70" t="str">
        <f>IFERROR(VLOOKUP($A172,InvDump[#All],MATCH(C$3,InvDump[#Headers],0),FALSE),"-")</f>
        <v>-</v>
      </c>
      <c r="D172" s="69" t="str">
        <f>IFERROR(VLOOKUP($A172,InvDump[#All],MATCH(D$3,InvDump[#Headers],0),FALSE),"-")</f>
        <v>-</v>
      </c>
      <c r="E172" s="69" t="str">
        <f>IFERROR(VLOOKUP($A172,InvDump[#All],MATCH(E$3,InvDump[#Headers],0),FALSE),"-")</f>
        <v>-</v>
      </c>
      <c r="F172" s="69" t="str">
        <f>IFERROR(VLOOKUP($A172,InvDump[#All],MATCH(F$3,InvDump[#Headers],0),FALSE),"-")</f>
        <v>-</v>
      </c>
      <c r="G172" s="69" t="str">
        <f>IFERROR(VLOOKUP($A172,InvDump[#All],MATCH(G$3,InvDump[#Headers],0),FALSE),"-")</f>
        <v>-</v>
      </c>
      <c r="H172" s="74" t="str">
        <f>IFERROR(VLOOKUP(G172,CustomerData!$B$4:$D$13,3),"-")</f>
        <v>-</v>
      </c>
      <c r="I172" s="69" t="str">
        <f>IFERROR(VLOOKUP($A172,InvDump[#All],MATCH(I$3,InvDump[#Headers],0),FALSE),"-")</f>
        <v>-</v>
      </c>
      <c r="J172" s="69" t="str">
        <f>IFERROR(VLOOKUP($A172,InvDump[#All],MATCH(J$3,InvDump[#Headers],0),FALSE),"-")</f>
        <v>-</v>
      </c>
      <c r="K172" s="69" t="str">
        <f>IFERROR(VLOOKUP($A172,InvDump[#All],MATCH(K$3,InvDump[#Headers],0),FALSE),"-")</f>
        <v>-</v>
      </c>
      <c r="L172" s="72" t="str">
        <f>IFERROR(VLOOKUP($A172,InvDump[#All],MATCH(L$3,InvDump[#Headers],0),FALSE),"-")</f>
        <v>-</v>
      </c>
      <c r="M172" s="72" t="str">
        <f>IFERROR(VLOOKUP($A172,InvDump[#All],MATCH(M$3,InvDump[#Headers],0),FALSE),"-")</f>
        <v>-</v>
      </c>
      <c r="N172" s="72" t="str">
        <f>IFERROR(VLOOKUP($A172,InvDump[#All],MATCH(N$3,InvDump[#Headers],0),FALSE),"-")</f>
        <v>-</v>
      </c>
      <c r="O172" s="72" t="str">
        <f>IFERROR(VLOOKUP($A172,InvDump[#All],MATCH(O$3,InvDump[#Headers],0),FALSE),"-")</f>
        <v>-</v>
      </c>
      <c r="P172" s="73" t="str">
        <f>IFERROR(VLOOKUP($A172,InvDump[#All],MATCH(P$3,InvDump[#Headers],0),FALSE),"")</f>
        <v/>
      </c>
      <c r="Q172" s="73" t="str">
        <f>IFERROR(VLOOKUP($A172,InvDump[#All],MATCH(Q$3,InvDump[#Headers],0),FALSE),"")</f>
        <v/>
      </c>
      <c r="R172" s="73" t="str">
        <f>IFERROR(IF(VLOOKUP($A172,InvDump[#All],MATCH(R$3,InvDump[#Headers],0),FALSE)=0,"",VLOOKUP($A172,InvDump[#All],MATCH(R$3,InvDump[#Headers],0),FALSE)),"")</f>
        <v/>
      </c>
      <c r="S172" s="75" t="str">
        <f>IFERROR(IF(InvDump[[#This Row],[Annexure]]="Yes",VLOOKUP($A172,InvDump[#All],21,FALSE)&amp;"; "&amp;VLOOKUP($A172,InvDump[#All],23,FALSE),VLOOKUP($A172,InvDump[#All],21,FALSE)),"")</f>
        <v/>
      </c>
    </row>
  </sheetData>
  <sheetProtection algorithmName="SHA-512" hashValue="ZnN8M3OOSF3QCORhNw/ac5vaJl/nwqPJtv3YZLx2dlyK/ako9B+7gX8fzKmlfQC/h/nNratz7nDLDPzWCcvccQ==" saltValue="I+YhIBJw6gL7EynXq20I0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166C9-6E12-4CB5-9776-5512D23418B3}">
  <sheetPr codeName="Sheet13"/>
  <dimension ref="A1:V86"/>
  <sheetViews>
    <sheetView showGridLines="0" showZeros="0" zoomScale="85" zoomScaleNormal="85" workbookViewId="0">
      <pane xSplit="10" ySplit="3" topLeftCell="M4" activePane="bottomRight" state="frozen"/>
      <selection activeCell="R4" sqref="R4"/>
      <selection pane="topRight" activeCell="R4" sqref="R4"/>
      <selection pane="bottomLeft" activeCell="R4" sqref="R4"/>
      <selection pane="bottomRigh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6" defaultRowHeight="14.4" x14ac:dyDescent="0.3"/>
  <cols>
    <col min="1" max="1" width="18.6640625" style="37" bestFit="1" customWidth="1"/>
    <col min="2" max="2" width="16.6640625" style="37" bestFit="1" customWidth="1"/>
    <col min="3" max="3" width="18.44140625" style="37" bestFit="1" customWidth="1"/>
    <col min="4" max="4" width="16.88671875" style="37" bestFit="1" customWidth="1"/>
    <col min="5" max="5" width="29.21875" style="37" bestFit="1" customWidth="1"/>
    <col min="6" max="6" width="16.21875" style="36" bestFit="1" customWidth="1"/>
    <col min="7" max="7" width="14" style="37" bestFit="1" customWidth="1"/>
    <col min="8" max="8" width="10.6640625" style="37" bestFit="1" customWidth="1"/>
    <col min="9" max="9" width="14.77734375" style="37" bestFit="1" customWidth="1"/>
    <col min="10" max="10" width="20.109375" style="36" bestFit="1" customWidth="1"/>
    <col min="11" max="11" width="20" style="24" bestFit="1" customWidth="1"/>
    <col min="12" max="12" width="59.5546875" style="24" bestFit="1" customWidth="1"/>
    <col min="13" max="13" width="17.6640625" style="24" bestFit="1" customWidth="1"/>
    <col min="14" max="14" width="32" style="24" bestFit="1" customWidth="1"/>
    <col min="15" max="15" width="71.109375" style="24" bestFit="1" customWidth="1"/>
    <col min="16" max="17" width="11.6640625" style="24" bestFit="1" customWidth="1"/>
    <col min="18" max="18" width="13.44140625" style="24" bestFit="1" customWidth="1"/>
    <col min="19" max="19" width="94.44140625" style="24" bestFit="1" customWidth="1"/>
    <col min="20" max="20" width="32.44140625" style="24" customWidth="1"/>
    <col min="21" max="21" width="74" style="24" bestFit="1" customWidth="1"/>
    <col min="22" max="23" width="30" style="24" bestFit="1" customWidth="1"/>
    <col min="24" max="16384" width="16" style="24"/>
  </cols>
  <sheetData>
    <row r="1" spans="1:22" ht="15.6" x14ac:dyDescent="0.3">
      <c r="A1" s="35"/>
      <c r="B1" s="103"/>
      <c r="C1" s="103"/>
      <c r="D1" s="103"/>
      <c r="E1" s="103"/>
    </row>
    <row r="3" spans="1:22" x14ac:dyDescent="0.3">
      <c r="A3" s="38" t="s">
        <v>2</v>
      </c>
      <c r="B3" s="39" t="s">
        <v>47</v>
      </c>
      <c r="C3" s="39" t="s">
        <v>42</v>
      </c>
      <c r="D3" s="39" t="s">
        <v>3</v>
      </c>
      <c r="E3" s="39" t="s">
        <v>17</v>
      </c>
      <c r="F3" s="39" t="s">
        <v>6</v>
      </c>
      <c r="G3" s="40" t="s">
        <v>65</v>
      </c>
      <c r="H3" s="39" t="s">
        <v>49</v>
      </c>
      <c r="I3" s="39" t="s">
        <v>55</v>
      </c>
      <c r="J3" s="39" t="s">
        <v>131</v>
      </c>
      <c r="K3" s="32" t="s">
        <v>0</v>
      </c>
      <c r="L3" s="32" t="s">
        <v>16</v>
      </c>
      <c r="M3" s="32" t="s">
        <v>4</v>
      </c>
      <c r="N3" s="32" t="s">
        <v>5</v>
      </c>
      <c r="O3" s="32" t="s">
        <v>19</v>
      </c>
      <c r="P3" s="32" t="s">
        <v>7</v>
      </c>
      <c r="Q3" s="32" t="s">
        <v>8</v>
      </c>
      <c r="R3" s="32" t="s">
        <v>9</v>
      </c>
      <c r="S3" s="32" t="s">
        <v>52</v>
      </c>
      <c r="T3" s="32" t="s">
        <v>50</v>
      </c>
      <c r="U3" s="32" t="s">
        <v>53</v>
      </c>
      <c r="V3" s="32" t="s">
        <v>51</v>
      </c>
    </row>
    <row r="4" spans="1:22" x14ac:dyDescent="0.3">
      <c r="A4" s="41" t="s">
        <v>121</v>
      </c>
      <c r="B4" s="43">
        <v>45689</v>
      </c>
      <c r="C4" s="44">
        <v>45658</v>
      </c>
      <c r="D4" s="41" t="s">
        <v>32</v>
      </c>
      <c r="E4" s="41" t="s">
        <v>92</v>
      </c>
      <c r="F4" s="46">
        <v>5000</v>
      </c>
      <c r="G4" s="47"/>
      <c r="H4" s="47">
        <v>200</v>
      </c>
      <c r="I4" s="41"/>
      <c r="J4" s="41" t="s">
        <v>105</v>
      </c>
      <c r="K4" s="18" t="str">
        <f>IF(InvDump[[#This Row],[InvoiceNo]]&lt;&gt;"","Sir/Ma'am","")</f>
        <v>Sir/Ma'am</v>
      </c>
      <c r="L4" s="28" t="str" cm="1">
        <f t="array" ref="L4">IF(InvDump[[#This Row],[Company]]&lt;&gt;"",_xlfn.XLOOKUP(InvDump[[#This Row],[Company]]&amp;InvDump[[#This Row],[Location]],CustomerData!B:B&amp;CustomerData!C:C,CustomerData!E:E,"Email Not Maintained"),"")</f>
        <v>abc@gmail.com</v>
      </c>
      <c r="M4" s="18" t="str">
        <f>IF(InvDump[[#This Row],[InvoiceNo]]&lt;&gt;"",CustomerData!$G$2,"")</f>
        <v>XXXXX</v>
      </c>
      <c r="N4" s="19" t="str">
        <f>IF(InvDump[[#This Row],[InvoiceNo]]&lt;&gt;"",CustomerData!$H$2,"")</f>
        <v>fhkdslk@outlook.com</v>
      </c>
      <c r="O4" s="28" t="str" cm="1">
        <f t="array" ref="O4">IF(InvDump[[#This Row],[Company]]&lt;&gt;"",_xlfn.XLOOKUP(InvDump[[#This Row],[Company]]&amp;InvDump[[#This Row],[Location]],CustomerData!B:B&amp;CustomerData!C:C,CustomerData!F:F,"Email Not Maintained"),"")</f>
        <v>abc@gmail.com</v>
      </c>
      <c r="P4" s="26">
        <f>IF(InvDump[[#This Row],[InvAmount]]&lt;&gt;"",InvDump[[#This Row],[InvAmount]]*9%,"")</f>
        <v>450</v>
      </c>
      <c r="Q4" s="26">
        <f>InvDump[[#This Row],[GST1]]</f>
        <v>450</v>
      </c>
      <c r="R4" s="29">
        <f>IF(InvDump[[#This Row],[InvAmount]]&lt;&gt;"",SUM(InvDump[[#This Row],[InvAmount]:[GST2]]),"")</f>
        <v>6100</v>
      </c>
      <c r="S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INV001-Electricity-Jan'25-DELHI-ABCD Ltd(TEA)</v>
      </c>
      <c r="T4" s="25" t="str" cm="1">
        <f t="array" ref="T4">IFERROR(FindFilePath(InvDump[[#This Row],[Invoice File Name]]&amp;".pdf",ControlPanel!$C$14), "")</f>
        <v/>
      </c>
      <c r="U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" s="25" t="str" cm="1">
        <f t="array" ref="V4">IFERROR(FindFilePath(InvDump[[#This Row],[Annexure File Name]]&amp;".pdf",ControlPanel!$C$14), "")</f>
        <v/>
      </c>
    </row>
    <row r="5" spans="1:22" x14ac:dyDescent="0.3">
      <c r="A5" s="41" t="s">
        <v>122</v>
      </c>
      <c r="B5" s="43">
        <v>45689</v>
      </c>
      <c r="C5" s="44">
        <v>45658</v>
      </c>
      <c r="D5" s="41" t="s">
        <v>32</v>
      </c>
      <c r="E5" s="41" t="s">
        <v>93</v>
      </c>
      <c r="F5" s="46">
        <v>20000</v>
      </c>
      <c r="G5" s="47"/>
      <c r="H5" s="47">
        <v>500</v>
      </c>
      <c r="I5" s="41"/>
      <c r="J5" s="41" t="s">
        <v>104</v>
      </c>
      <c r="K5" s="18" t="str">
        <f>IF(InvDump[[#This Row],[InvoiceNo]]&lt;&gt;"","Sir/Ma'am","")</f>
        <v>Sir/Ma'am</v>
      </c>
      <c r="L5" s="28" t="str" cm="1">
        <f t="array" ref="L5">IF(InvDump[[#This Row],[Company]]&lt;&gt;"",_xlfn.XLOOKUP(InvDump[[#This Row],[Company]]&amp;InvDump[[#This Row],[Location]],CustomerData!B:B&amp;CustomerData!C:C,CustomerData!E:E,"Email Not Maintained"),"")</f>
        <v>abc@gmail.com</v>
      </c>
      <c r="M5" s="18" t="str">
        <f>IF(InvDump[[#This Row],[InvoiceNo]]&lt;&gt;"",CustomerData!$G$2,"")</f>
        <v>XXXXX</v>
      </c>
      <c r="N5" s="19" t="str">
        <f>IF(InvDump[[#This Row],[InvoiceNo]]&lt;&gt;"",CustomerData!$H$2,"")</f>
        <v>fhkdslk@outlook.com</v>
      </c>
      <c r="O5" s="28" t="str" cm="1">
        <f t="array" ref="O5">IF(InvDump[[#This Row],[Company]]&lt;&gt;"",_xlfn.XLOOKUP(InvDump[[#This Row],[Company]]&amp;InvDump[[#This Row],[Location]],CustomerData!B:B&amp;CustomerData!C:C,CustomerData!F:F,"Email Not Maintained"),"")</f>
        <v>abc@gmail.com</v>
      </c>
      <c r="P5" s="26">
        <f>IF(InvDump[[#This Row],[InvAmount]]&lt;&gt;"",InvDump[[#This Row],[InvAmount]]*9%,"")</f>
        <v>1800</v>
      </c>
      <c r="Q5" s="26">
        <f>InvDump[[#This Row],[GST1]]</f>
        <v>1800</v>
      </c>
      <c r="R5" s="29">
        <f>IF(InvDump[[#This Row],[InvAmount]]&lt;&gt;"",SUM(InvDump[[#This Row],[InvAmount]:[GST2]]),"")</f>
        <v>24100</v>
      </c>
      <c r="S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INV002-Electricity-Jan'25-HYDERABAD-EFGGH Ltd(OIL)</v>
      </c>
      <c r="T5" s="25" t="str" cm="1">
        <f t="array" ref="T5">IFERROR(FindFilePath(InvDump[[#This Row],[Invoice File Name]]&amp;".pdf",ControlPanel!$C$14), "")</f>
        <v/>
      </c>
      <c r="U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" s="25" t="str" cm="1">
        <f t="array" ref="V5">IFERROR(FindFilePath(InvDump[[#This Row],[Annexure File Name]]&amp;".pdf",ControlPanel!$C$14), "")</f>
        <v/>
      </c>
    </row>
    <row r="6" spans="1:22" x14ac:dyDescent="0.3">
      <c r="A6" s="41" t="s">
        <v>123</v>
      </c>
      <c r="B6" s="43">
        <v>45689</v>
      </c>
      <c r="C6" s="44">
        <v>45658</v>
      </c>
      <c r="D6" s="41" t="s">
        <v>32</v>
      </c>
      <c r="E6" s="41" t="s">
        <v>94</v>
      </c>
      <c r="F6" s="46">
        <v>15000</v>
      </c>
      <c r="G6" s="47"/>
      <c r="H6" s="47">
        <v>300</v>
      </c>
      <c r="I6" s="41"/>
      <c r="J6" s="41" t="s">
        <v>106</v>
      </c>
      <c r="K6" s="18" t="str">
        <f>IF(InvDump[[#This Row],[InvoiceNo]]&lt;&gt;"","Sir/Ma'am","")</f>
        <v>Sir/Ma'am</v>
      </c>
      <c r="L6" s="28" t="str" cm="1">
        <f t="array" ref="L6">IF(InvDump[[#This Row],[Company]]&lt;&gt;"",_xlfn.XLOOKUP(InvDump[[#This Row],[Company]]&amp;InvDump[[#This Row],[Location]],CustomerData!B:B&amp;CustomerData!C:C,CustomerData!E:E,"Email Not Maintained"),"")</f>
        <v>abc@gmail.com</v>
      </c>
      <c r="M6" s="18" t="str">
        <f>IF(InvDump[[#This Row],[InvoiceNo]]&lt;&gt;"",CustomerData!$G$2,"")</f>
        <v>XXXXX</v>
      </c>
      <c r="N6" s="19" t="str">
        <f>IF(InvDump[[#This Row],[InvoiceNo]]&lt;&gt;"",CustomerData!$H$2,"")</f>
        <v>fhkdslk@outlook.com</v>
      </c>
      <c r="O6" s="28" t="str" cm="1">
        <f t="array" ref="O6">IF(InvDump[[#This Row],[Company]]&lt;&gt;"",_xlfn.XLOOKUP(InvDump[[#This Row],[Company]]&amp;InvDump[[#This Row],[Location]],CustomerData!B:B&amp;CustomerData!C:C,CustomerData!F:F,"Email Not Maintained"),"")</f>
        <v>abc@gmail.com</v>
      </c>
      <c r="P6" s="26">
        <f>IF(InvDump[[#This Row],[InvAmount]]&lt;&gt;"",InvDump[[#This Row],[InvAmount]]*9%,"")</f>
        <v>1350</v>
      </c>
      <c r="Q6" s="26">
        <f>InvDump[[#This Row],[GST1]]</f>
        <v>1350</v>
      </c>
      <c r="R6" s="29">
        <f>IF(InvDump[[#This Row],[InvAmount]]&lt;&gt;"",SUM(InvDump[[#This Row],[InvAmount]:[GST2]]),"")</f>
        <v>18000</v>
      </c>
      <c r="S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INV003-Electricity-Jan'25-AGRA-LKJAHSDFKJHASDF Ltd(COSMETICS)</v>
      </c>
      <c r="T6" s="25" t="str" cm="1">
        <f t="array" ref="T6">IFERROR(FindFilePath(InvDump[[#This Row],[Invoice File Name]]&amp;".pdf",ControlPanel!$C$14), "")</f>
        <v/>
      </c>
      <c r="U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" s="25" t="str" cm="1">
        <f t="array" ref="V6">IFERROR(FindFilePath(InvDump[[#This Row],[Annexure File Name]]&amp;".pdf",ControlPanel!$C$14), "")</f>
        <v/>
      </c>
    </row>
    <row r="7" spans="1:22" x14ac:dyDescent="0.3">
      <c r="A7" s="41" t="s">
        <v>124</v>
      </c>
      <c r="B7" s="43">
        <v>45689</v>
      </c>
      <c r="C7" s="44">
        <v>45658</v>
      </c>
      <c r="D7" s="41" t="s">
        <v>32</v>
      </c>
      <c r="E7" s="41" t="s">
        <v>95</v>
      </c>
      <c r="F7" s="46">
        <v>400</v>
      </c>
      <c r="G7" s="47"/>
      <c r="H7" s="47">
        <v>100</v>
      </c>
      <c r="I7" s="41"/>
      <c r="J7" s="41" t="s">
        <v>107</v>
      </c>
      <c r="K7" s="18" t="str">
        <f>IF(InvDump[[#This Row],[InvoiceNo]]&lt;&gt;"","Sir/Ma'am","")</f>
        <v>Sir/Ma'am</v>
      </c>
      <c r="L7" s="28" t="str" cm="1">
        <f t="array" ref="L7">IF(InvDump[[#This Row],[Company]]&lt;&gt;"",_xlfn.XLOOKUP(InvDump[[#This Row],[Company]]&amp;InvDump[[#This Row],[Location]],CustomerData!B:B&amp;CustomerData!C:C,CustomerData!E:E,"Email Not Maintained"),"")</f>
        <v>abc@gmail.com</v>
      </c>
      <c r="M7" s="18" t="str">
        <f>IF(InvDump[[#This Row],[InvoiceNo]]&lt;&gt;"",CustomerData!$G$2,"")</f>
        <v>XXXXX</v>
      </c>
      <c r="N7" s="19" t="str">
        <f>IF(InvDump[[#This Row],[InvoiceNo]]&lt;&gt;"",CustomerData!$H$2,"")</f>
        <v>fhkdslk@outlook.com</v>
      </c>
      <c r="O7" s="28" t="str" cm="1">
        <f t="array" ref="O7">IF(InvDump[[#This Row],[Company]]&lt;&gt;"",_xlfn.XLOOKUP(InvDump[[#This Row],[Company]]&amp;InvDump[[#This Row],[Location]],CustomerData!B:B&amp;CustomerData!C:C,CustomerData!F:F,"Email Not Maintained"),"")</f>
        <v>abc@gmail.com</v>
      </c>
      <c r="P7" s="26">
        <f>IF(InvDump[[#This Row],[InvAmount]]&lt;&gt;"",InvDump[[#This Row],[InvAmount]]*9%,"")</f>
        <v>36</v>
      </c>
      <c r="Q7" s="26">
        <f>InvDump[[#This Row],[GST1]]</f>
        <v>36</v>
      </c>
      <c r="R7" s="29">
        <f>IF(InvDump[[#This Row],[InvAmount]]&lt;&gt;"",SUM(InvDump[[#This Row],[InvAmount]:[GST2]]),"")</f>
        <v>572</v>
      </c>
      <c r="S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INV004-Electricity-Jan'25-CHENNAI-LKAHSDFKJHNVKJD Ltd(TEA)</v>
      </c>
      <c r="T7" s="25" t="str" cm="1">
        <f t="array" ref="T7">IFERROR(FindFilePath(InvDump[[#This Row],[Invoice File Name]]&amp;".pdf",ControlPanel!$C$14), "")</f>
        <v/>
      </c>
      <c r="U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" s="25" t="str" cm="1">
        <f t="array" ref="V7">IFERROR(FindFilePath(InvDump[[#This Row],[Annexure File Name]]&amp;".pdf",ControlPanel!$C$14), "")</f>
        <v/>
      </c>
    </row>
    <row r="8" spans="1:22" x14ac:dyDescent="0.3">
      <c r="A8" s="41" t="s">
        <v>125</v>
      </c>
      <c r="B8" s="43">
        <v>45689</v>
      </c>
      <c r="C8" s="44">
        <v>45658</v>
      </c>
      <c r="D8" s="41" t="s">
        <v>59</v>
      </c>
      <c r="E8" s="41" t="s">
        <v>96</v>
      </c>
      <c r="F8" s="46">
        <v>600</v>
      </c>
      <c r="G8" s="47">
        <v>20</v>
      </c>
      <c r="H8" s="47">
        <v>80</v>
      </c>
      <c r="I8" s="41" t="s">
        <v>132</v>
      </c>
      <c r="J8" s="41" t="s">
        <v>108</v>
      </c>
      <c r="K8" s="18" t="str">
        <f>IF(InvDump[[#This Row],[InvoiceNo]]&lt;&gt;"","Sir/Ma'am","")</f>
        <v>Sir/Ma'am</v>
      </c>
      <c r="L8" s="28" t="str" cm="1">
        <f t="array" ref="L8">IF(InvDump[[#This Row],[Company]]&lt;&gt;"",_xlfn.XLOOKUP(InvDump[[#This Row],[Company]]&amp;InvDump[[#This Row],[Location]],CustomerData!B:B&amp;CustomerData!C:C,CustomerData!E:E,"Email Not Maintained"),"")</f>
        <v>abc@gmail.com</v>
      </c>
      <c r="M8" s="18" t="str">
        <f>IF(InvDump[[#This Row],[InvoiceNo]]&lt;&gt;"",CustomerData!$G$2,"")</f>
        <v>XXXXX</v>
      </c>
      <c r="N8" s="19" t="str">
        <f>IF(InvDump[[#This Row],[InvoiceNo]]&lt;&gt;"",CustomerData!$H$2,"")</f>
        <v>fhkdslk@outlook.com</v>
      </c>
      <c r="O8" s="28" t="str" cm="1">
        <f t="array" ref="O8">IF(InvDump[[#This Row],[Company]]&lt;&gt;"",_xlfn.XLOOKUP(InvDump[[#This Row],[Company]]&amp;InvDump[[#This Row],[Location]],CustomerData!B:B&amp;CustomerData!C:C,CustomerData!F:F,"Email Not Maintained"),"")</f>
        <v>abc@gmail.com</v>
      </c>
      <c r="P8" s="26">
        <f>IF(InvDump[[#This Row],[InvAmount]]&lt;&gt;"",InvDump[[#This Row],[InvAmount]]*9%,"")</f>
        <v>54</v>
      </c>
      <c r="Q8" s="26">
        <f>InvDump[[#This Row],[GST1]]</f>
        <v>54</v>
      </c>
      <c r="R8" s="29">
        <f>IF(InvDump[[#This Row],[InvAmount]]&lt;&gt;"",SUM(InvDump[[#This Row],[InvAmount]:[GST2]]),"")</f>
        <v>808</v>
      </c>
      <c r="S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INV005-Water-Jan'25- BENGALURU-FJKEIISOOS Ltd(TEA)</v>
      </c>
      <c r="T8" s="25" t="str" cm="1">
        <f t="array" ref="T8">IFERROR(FindFilePath(InvDump[[#This Row],[Invoice File Name]]&amp;".pdf",ControlPanel!$C$14), "")</f>
        <v/>
      </c>
      <c r="U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>INV005-Jan'25-FJKEIISOOS Ltd(TEA)-Annexure</v>
      </c>
      <c r="V8" s="25" t="str" cm="1">
        <f t="array" ref="V8">IFERROR(FindFilePath(InvDump[[#This Row],[Annexure File Name]]&amp;".pdf",ControlPanel!$C$14), "")</f>
        <v/>
      </c>
    </row>
    <row r="9" spans="1:22" x14ac:dyDescent="0.3">
      <c r="A9" s="41" t="s">
        <v>126</v>
      </c>
      <c r="B9" s="43">
        <v>45689</v>
      </c>
      <c r="C9" s="44">
        <v>45658</v>
      </c>
      <c r="D9" s="41" t="s">
        <v>59</v>
      </c>
      <c r="E9" s="41" t="s">
        <v>97</v>
      </c>
      <c r="F9" s="46">
        <v>800</v>
      </c>
      <c r="G9" s="47">
        <v>20</v>
      </c>
      <c r="H9" s="47">
        <v>80</v>
      </c>
      <c r="I9" s="41" t="s">
        <v>132</v>
      </c>
      <c r="J9" s="41" t="s">
        <v>109</v>
      </c>
      <c r="K9" s="18" t="str">
        <f>IF(InvDump[[#This Row],[InvoiceNo]]&lt;&gt;"","Sir/Ma'am","")</f>
        <v>Sir/Ma'am</v>
      </c>
      <c r="L9" s="28" t="str" cm="1">
        <f t="array" ref="L9">IF(InvDump[[#This Row],[Company]]&lt;&gt;"",_xlfn.XLOOKUP(InvDump[[#This Row],[Company]]&amp;InvDump[[#This Row],[Location]],CustomerData!B:B&amp;CustomerData!C:C,CustomerData!E:E,"Email Not Maintained"),"")</f>
        <v>abc@gmail.com</v>
      </c>
      <c r="M9" s="18" t="str">
        <f>IF(InvDump[[#This Row],[InvoiceNo]]&lt;&gt;"",CustomerData!$G$2,"")</f>
        <v>XXXXX</v>
      </c>
      <c r="N9" s="19" t="str">
        <f>IF(InvDump[[#This Row],[InvoiceNo]]&lt;&gt;"",CustomerData!$H$2,"")</f>
        <v>fhkdslk@outlook.com</v>
      </c>
      <c r="O9" s="28" t="str" cm="1">
        <f t="array" ref="O9">IF(InvDump[[#This Row],[Company]]&lt;&gt;"",_xlfn.XLOOKUP(InvDump[[#This Row],[Company]]&amp;InvDump[[#This Row],[Location]],CustomerData!B:B&amp;CustomerData!C:C,CustomerData!F:F,"Email Not Maintained"),"")</f>
        <v>abc@gmail.com</v>
      </c>
      <c r="P9" s="26">
        <f>IF(InvDump[[#This Row],[InvAmount]]&lt;&gt;"",InvDump[[#This Row],[InvAmount]]*9%,"")</f>
        <v>72</v>
      </c>
      <c r="Q9" s="26">
        <f>InvDump[[#This Row],[GST1]]</f>
        <v>72</v>
      </c>
      <c r="R9" s="29">
        <f>IF(InvDump[[#This Row],[InvAmount]]&lt;&gt;"",SUM(InvDump[[#This Row],[InvAmount]:[GST2]]),"")</f>
        <v>1044</v>
      </c>
      <c r="S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INV006-Water-Jan'25-PUNE-VNJKDKJKOWOODJH Ltd(RICE)</v>
      </c>
      <c r="T9" s="25" t="str" cm="1">
        <f t="array" ref="T9">IFERROR(FindFilePath(InvDump[[#This Row],[Invoice File Name]]&amp;".pdf",ControlPanel!$C$14), "")</f>
        <v/>
      </c>
      <c r="U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>INV006-Jan'25-VNJKDKJKOWOODJH Ltd(RICE)-Annexure</v>
      </c>
      <c r="V9" s="25" t="str" cm="1">
        <f t="array" ref="V9">IFERROR(FindFilePath(InvDump[[#This Row],[Annexure File Name]]&amp;".pdf",ControlPanel!$C$14), "")</f>
        <v/>
      </c>
    </row>
    <row r="10" spans="1:22" x14ac:dyDescent="0.3">
      <c r="A10" s="41" t="s">
        <v>127</v>
      </c>
      <c r="B10" s="43">
        <v>45689</v>
      </c>
      <c r="C10" s="44">
        <v>45658</v>
      </c>
      <c r="D10" s="41" t="s">
        <v>59</v>
      </c>
      <c r="E10" s="41" t="s">
        <v>98</v>
      </c>
      <c r="F10" s="46">
        <v>867</v>
      </c>
      <c r="G10" s="47">
        <v>25</v>
      </c>
      <c r="H10" s="47">
        <v>80</v>
      </c>
      <c r="I10" s="41" t="s">
        <v>132</v>
      </c>
      <c r="J10" s="41" t="s">
        <v>110</v>
      </c>
      <c r="K10" s="18" t="str">
        <f>IF(InvDump[[#This Row],[InvoiceNo]]&lt;&gt;"","Sir/Ma'am","")</f>
        <v>Sir/Ma'am</v>
      </c>
      <c r="L10" s="28" t="str" cm="1">
        <f t="array" ref="L10">IF(InvDump[[#This Row],[Company]]&lt;&gt;"",_xlfn.XLOOKUP(InvDump[[#This Row],[Company]]&amp;InvDump[[#This Row],[Location]],CustomerData!B:B&amp;CustomerData!C:C,CustomerData!E:E,"Email Not Maintained"),"")</f>
        <v>abc@gmail.com</v>
      </c>
      <c r="M10" s="18" t="str">
        <f>IF(InvDump[[#This Row],[InvoiceNo]]&lt;&gt;"",CustomerData!$G$2,"")</f>
        <v>XXXXX</v>
      </c>
      <c r="N10" s="19" t="str">
        <f>IF(InvDump[[#This Row],[InvoiceNo]]&lt;&gt;"",CustomerData!$H$2,"")</f>
        <v>fhkdslk@outlook.com</v>
      </c>
      <c r="O10" s="28" t="str" cm="1">
        <f t="array" ref="O10">IF(InvDump[[#This Row],[Company]]&lt;&gt;"",_xlfn.XLOOKUP(InvDump[[#This Row],[Company]]&amp;InvDump[[#This Row],[Location]],CustomerData!B:B&amp;CustomerData!C:C,CustomerData!F:F,"Email Not Maintained"),"")</f>
        <v>abc@gmail.com</v>
      </c>
      <c r="P10" s="26">
        <f>IF(InvDump[[#This Row],[InvAmount]]&lt;&gt;"",InvDump[[#This Row],[InvAmount]]*9%,"")</f>
        <v>78.03</v>
      </c>
      <c r="Q10" s="26">
        <f>InvDump[[#This Row],[GST1]]</f>
        <v>78.03</v>
      </c>
      <c r="R10" s="29">
        <f>IF(InvDump[[#This Row],[InvAmount]]&lt;&gt;"",SUM(InvDump[[#This Row],[InvAmount]:[GST2]]),"")</f>
        <v>1128.06</v>
      </c>
      <c r="S1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INV007-Water-Jan'25-MUMBAI-DJNBNSLKLKWO Ltd(RICE)</v>
      </c>
      <c r="T10" s="25" t="str" cm="1">
        <f t="array" ref="T10">IFERROR(FindFilePath(InvDump[[#This Row],[Invoice File Name]]&amp;".pdf",ControlPanel!$C$14), "")</f>
        <v/>
      </c>
      <c r="U1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>INV007-Jan'25-DJNBNSLKLKWO Ltd(RICE)-Annexure</v>
      </c>
      <c r="V10" s="25" t="str" cm="1">
        <f t="array" ref="V10">IFERROR(FindFilePath(InvDump[[#This Row],[Annexure File Name]]&amp;".pdf",ControlPanel!$C$14), "")</f>
        <v/>
      </c>
    </row>
    <row r="11" spans="1:22" x14ac:dyDescent="0.3">
      <c r="A11" s="41" t="s">
        <v>128</v>
      </c>
      <c r="B11" s="43">
        <v>45689</v>
      </c>
      <c r="C11" s="44">
        <v>45658</v>
      </c>
      <c r="D11" s="41" t="s">
        <v>56</v>
      </c>
      <c r="E11" s="41" t="s">
        <v>99</v>
      </c>
      <c r="F11" s="46">
        <v>120000</v>
      </c>
      <c r="G11" s="47"/>
      <c r="H11" s="47"/>
      <c r="I11" s="41"/>
      <c r="J11" s="41" t="s">
        <v>111</v>
      </c>
      <c r="K11" s="18" t="str">
        <f>IF(InvDump[[#This Row],[InvoiceNo]]&lt;&gt;"","Sir/Ma'am","")</f>
        <v>Sir/Ma'am</v>
      </c>
      <c r="L11" s="28" t="str" cm="1">
        <f t="array" ref="L11">IF(InvDump[[#This Row],[Company]]&lt;&gt;"",_xlfn.XLOOKUP(InvDump[[#This Row],[Company]]&amp;InvDump[[#This Row],[Location]],CustomerData!B:B&amp;CustomerData!C:C,CustomerData!E:E,"Email Not Maintained"),"")</f>
        <v>abc@gmail.com</v>
      </c>
      <c r="M11" s="18" t="str">
        <f>IF(InvDump[[#This Row],[InvoiceNo]]&lt;&gt;"",CustomerData!$G$2,"")</f>
        <v>XXXXX</v>
      </c>
      <c r="N11" s="19" t="str">
        <f>IF(InvDump[[#This Row],[InvoiceNo]]&lt;&gt;"",CustomerData!$H$2,"")</f>
        <v>fhkdslk@outlook.com</v>
      </c>
      <c r="O11" s="28" t="str" cm="1">
        <f t="array" ref="O11">IF(InvDump[[#This Row],[Company]]&lt;&gt;"",_xlfn.XLOOKUP(InvDump[[#This Row],[Company]]&amp;InvDump[[#This Row],[Location]],CustomerData!B:B&amp;CustomerData!C:C,CustomerData!F:F,"Email Not Maintained"),"")</f>
        <v>abc@gmail.com</v>
      </c>
      <c r="P11" s="26">
        <f>IF(InvDump[[#This Row],[InvAmount]]&lt;&gt;"",InvDump[[#This Row],[InvAmount]]*9%,"")</f>
        <v>10800</v>
      </c>
      <c r="Q11" s="26">
        <f>InvDump[[#This Row],[GST1]]</f>
        <v>10800</v>
      </c>
      <c r="R11" s="29">
        <f>IF(InvDump[[#This Row],[InvAmount]]&lt;&gt;"",SUM(InvDump[[#This Row],[InvAmount]:[GST2]]),"")</f>
        <v>141600</v>
      </c>
      <c r="S1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INV008-Rent-Jan'25-VIJAYAWADA-ALWOEODKCEDK Ltd(PULSES)</v>
      </c>
      <c r="T11" s="25" t="str" cm="1">
        <f t="array" ref="T11">IFERROR(FindFilePath(InvDump[[#This Row],[Invoice File Name]]&amp;".pdf",ControlPanel!$C$14), "")</f>
        <v/>
      </c>
      <c r="U1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1" s="25" t="str" cm="1">
        <f t="array" ref="V11">IFERROR(FindFilePath(InvDump[[#This Row],[Annexure File Name]]&amp;".pdf",ControlPanel!$C$14), "")</f>
        <v/>
      </c>
    </row>
    <row r="12" spans="1:22" x14ac:dyDescent="0.3">
      <c r="A12" s="41" t="s">
        <v>129</v>
      </c>
      <c r="B12" s="43">
        <v>45689</v>
      </c>
      <c r="C12" s="44">
        <v>45658</v>
      </c>
      <c r="D12" s="41" t="s">
        <v>56</v>
      </c>
      <c r="E12" s="41" t="s">
        <v>100</v>
      </c>
      <c r="F12" s="46">
        <v>89000</v>
      </c>
      <c r="G12" s="47"/>
      <c r="H12" s="47"/>
      <c r="I12" s="41"/>
      <c r="J12" s="41" t="s">
        <v>112</v>
      </c>
      <c r="K12" s="18" t="str">
        <f>IF(InvDump[[#This Row],[InvoiceNo]]&lt;&gt;"","Sir/Ma'am","")</f>
        <v>Sir/Ma'am</v>
      </c>
      <c r="L12" s="28" t="str" cm="1">
        <f t="array" ref="L12">IF(InvDump[[#This Row],[Company]]&lt;&gt;"",_xlfn.XLOOKUP(InvDump[[#This Row],[Company]]&amp;InvDump[[#This Row],[Location]],CustomerData!B:B&amp;CustomerData!C:C,CustomerData!E:E,"Email Not Maintained"),"")</f>
        <v>abc@gmail.com</v>
      </c>
      <c r="M12" s="18" t="str">
        <f>IF(InvDump[[#This Row],[InvoiceNo]]&lt;&gt;"",CustomerData!$G$2,"")</f>
        <v>XXXXX</v>
      </c>
      <c r="N12" s="19" t="str">
        <f>IF(InvDump[[#This Row],[InvoiceNo]]&lt;&gt;"",CustomerData!$H$2,"")</f>
        <v>fhkdslk@outlook.com</v>
      </c>
      <c r="O12" s="28" t="str" cm="1">
        <f t="array" ref="O12">IF(InvDump[[#This Row],[Company]]&lt;&gt;"",_xlfn.XLOOKUP(InvDump[[#This Row],[Company]]&amp;InvDump[[#This Row],[Location]],CustomerData!B:B&amp;CustomerData!C:C,CustomerData!F:F,"Email Not Maintained"),"")</f>
        <v>abc@gmail.com</v>
      </c>
      <c r="P12" s="26">
        <f>IF(InvDump[[#This Row],[InvAmount]]&lt;&gt;"",InvDump[[#This Row],[InvAmount]]*9%,"")</f>
        <v>8010</v>
      </c>
      <c r="Q12" s="26">
        <f>InvDump[[#This Row],[GST1]]</f>
        <v>8010</v>
      </c>
      <c r="R12" s="29">
        <f>IF(InvDump[[#This Row],[InvAmount]]&lt;&gt;"",SUM(InvDump[[#This Row],[InvAmount]:[GST2]]),"")</f>
        <v>105020</v>
      </c>
      <c r="S1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INV009-Rent-Jan'25-VIZAG-XXXXLKDDDDDDD LTD(SERVICES)</v>
      </c>
      <c r="T12" s="25" t="str" cm="1">
        <f t="array" ref="T12">IFERROR(FindFilePath(InvDump[[#This Row],[Invoice File Name]]&amp;".pdf",ControlPanel!$C$14), "")</f>
        <v/>
      </c>
      <c r="U1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2" s="25" t="str" cm="1">
        <f t="array" ref="V12">IFERROR(FindFilePath(InvDump[[#This Row],[Annexure File Name]]&amp;".pdf",ControlPanel!$C$14), "")</f>
        <v/>
      </c>
    </row>
    <row r="13" spans="1:22" x14ac:dyDescent="0.3">
      <c r="A13" s="41" t="s">
        <v>130</v>
      </c>
      <c r="B13" s="43">
        <v>45689</v>
      </c>
      <c r="C13" s="44">
        <v>45658</v>
      </c>
      <c r="D13" s="41" t="s">
        <v>56</v>
      </c>
      <c r="E13" s="41" t="s">
        <v>101</v>
      </c>
      <c r="F13" s="46">
        <v>70000</v>
      </c>
      <c r="G13" s="47"/>
      <c r="H13" s="47"/>
      <c r="I13" s="41"/>
      <c r="J13" s="41" t="s">
        <v>113</v>
      </c>
      <c r="K13" s="18" t="str">
        <f>IF(InvDump[[#This Row],[InvoiceNo]]&lt;&gt;"","Sir/Ma'am","")</f>
        <v>Sir/Ma'am</v>
      </c>
      <c r="L13" s="28" t="str" cm="1">
        <f t="array" ref="L13">IF(InvDump[[#This Row],[Company]]&lt;&gt;"",_xlfn.XLOOKUP(InvDump[[#This Row],[Company]]&amp;InvDump[[#This Row],[Location]],CustomerData!B:B&amp;CustomerData!C:C,CustomerData!E:E,"Email Not Maintained"),"")</f>
        <v>abc@gmail.com</v>
      </c>
      <c r="M13" s="18" t="str">
        <f>IF(InvDump[[#This Row],[InvoiceNo]]&lt;&gt;"",CustomerData!$G$2,"")</f>
        <v>XXXXX</v>
      </c>
      <c r="N13" s="19" t="str">
        <f>IF(InvDump[[#This Row],[InvoiceNo]]&lt;&gt;"",CustomerData!$H$2,"")</f>
        <v>fhkdslk@outlook.com</v>
      </c>
      <c r="O13" s="28" t="str" cm="1">
        <f t="array" ref="O13">IF(InvDump[[#This Row],[Company]]&lt;&gt;"",_xlfn.XLOOKUP(InvDump[[#This Row],[Company]]&amp;InvDump[[#This Row],[Location]],CustomerData!B:B&amp;CustomerData!C:C,CustomerData!F:F,"Email Not Maintained"),"")</f>
        <v>abc@gmail.com</v>
      </c>
      <c r="P13" s="26">
        <f>IF(InvDump[[#This Row],[InvAmount]]&lt;&gt;"",InvDump[[#This Row],[InvAmount]]*9%,"")</f>
        <v>6300</v>
      </c>
      <c r="Q13" s="26">
        <f>InvDump[[#This Row],[GST1]]</f>
        <v>6300</v>
      </c>
      <c r="R13" s="29">
        <f>IF(InvDump[[#This Row],[InvAmount]]&lt;&gt;"",SUM(InvDump[[#This Row],[InvAmount]:[GST2]]),"")</f>
        <v>82600</v>
      </c>
      <c r="S1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>INV010-Rent-Jan'25-KOLKATA-QWIKDQPLKDN LTD(SERVICES)</v>
      </c>
      <c r="T13" s="25" t="str" cm="1">
        <f t="array" ref="T13">IFERROR(FindFilePath(InvDump[[#This Row],[Invoice File Name]]&amp;".pdf",ControlPanel!$C$14), "")</f>
        <v/>
      </c>
      <c r="U1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3" s="25" t="str" cm="1">
        <f t="array" ref="V13">IFERROR(FindFilePath(InvDump[[#This Row],[Annexure File Name]]&amp;".pdf",ControlPanel!$C$14), "")</f>
        <v/>
      </c>
    </row>
    <row r="14" spans="1:22" x14ac:dyDescent="0.3">
      <c r="A14" s="41"/>
      <c r="B14" s="43"/>
      <c r="C14" s="44"/>
      <c r="D14" s="41"/>
      <c r="E14" s="41"/>
      <c r="F14" s="46"/>
      <c r="G14" s="47"/>
      <c r="H14" s="47"/>
      <c r="I14" s="41"/>
      <c r="J14" s="41"/>
      <c r="K14" s="18" t="str">
        <f>IF(InvDump[[#This Row],[InvoiceNo]]&lt;&gt;"","Sir/Ma'am","")</f>
        <v/>
      </c>
      <c r="L14" s="28" t="str" cm="1">
        <f t="array" ref="L14">IF(InvDump[[#This Row],[Company]]&lt;&gt;"",_xlfn.XLOOKUP(InvDump[[#This Row],[Company]]&amp;InvDump[[#This Row],[Location]],CustomerData!B:B&amp;CustomerData!C:C,CustomerData!E:E,"Email Not Maintained"),"")</f>
        <v/>
      </c>
      <c r="M14" s="18" t="str">
        <f>IF(InvDump[[#This Row],[InvoiceNo]]&lt;&gt;"",CustomerData!$G$2,"")</f>
        <v/>
      </c>
      <c r="N14" s="19" t="str">
        <f>IF(InvDump[[#This Row],[InvoiceNo]]&lt;&gt;"",CustomerData!$H$2,"")</f>
        <v/>
      </c>
      <c r="O14" s="28" t="str" cm="1">
        <f t="array" ref="O14">IF(InvDump[[#This Row],[Company]]&lt;&gt;"",_xlfn.XLOOKUP(InvDump[[#This Row],[Company]]&amp;InvDump[[#This Row],[Location]],CustomerData!B:B&amp;CustomerData!C:C,CustomerData!F:F,"Email Not Maintained"),"")</f>
        <v/>
      </c>
      <c r="P14" s="26" t="str">
        <f>IF(InvDump[[#This Row],[InvAmount]]&lt;&gt;"",InvDump[[#This Row],[InvAmount]]*9%,"")</f>
        <v/>
      </c>
      <c r="Q14" s="26" t="str">
        <f>InvDump[[#This Row],[GST1]]</f>
        <v/>
      </c>
      <c r="R14" s="29" t="str">
        <f>IF(InvDump[[#This Row],[InvAmount]]&lt;&gt;"",SUM(InvDump[[#This Row],[InvAmount]:[GST2]]),"")</f>
        <v/>
      </c>
      <c r="S1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4" s="25" t="str" cm="1">
        <f t="array" ref="T14">IFERROR(FindFilePath(InvDump[[#This Row],[Invoice File Name]]&amp;".pdf",ControlPanel!$C$14), "")</f>
        <v/>
      </c>
      <c r="U1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4" s="25" t="str" cm="1">
        <f t="array" ref="V14">IFERROR(FindFilePath(InvDump[[#This Row],[Annexure File Name]]&amp;".pdf",ControlPanel!$C$14), "")</f>
        <v/>
      </c>
    </row>
    <row r="15" spans="1:22" x14ac:dyDescent="0.3">
      <c r="A15" s="41"/>
      <c r="B15" s="43"/>
      <c r="C15" s="44"/>
      <c r="D15" s="41"/>
      <c r="E15" s="41"/>
      <c r="F15" s="46"/>
      <c r="G15" s="47"/>
      <c r="H15" s="47"/>
      <c r="I15" s="41"/>
      <c r="J15" s="41"/>
      <c r="K15" s="18" t="str">
        <f>IF(InvDump[[#This Row],[InvoiceNo]]&lt;&gt;"","Sir/Ma'am","")</f>
        <v/>
      </c>
      <c r="L15" s="28" t="str" cm="1">
        <f t="array" ref="L15">IF(InvDump[[#This Row],[Company]]&lt;&gt;"",_xlfn.XLOOKUP(InvDump[[#This Row],[Company]]&amp;InvDump[[#This Row],[Location]],CustomerData!B:B&amp;CustomerData!C:C,CustomerData!E:E,"Email Not Maintained"),"")</f>
        <v/>
      </c>
      <c r="M15" s="18" t="str">
        <f>IF(InvDump[[#This Row],[InvoiceNo]]&lt;&gt;"",CustomerData!$G$2,"")</f>
        <v/>
      </c>
      <c r="N15" s="19" t="str">
        <f>IF(InvDump[[#This Row],[InvoiceNo]]&lt;&gt;"",CustomerData!$H$2,"")</f>
        <v/>
      </c>
      <c r="O15" s="28" t="str" cm="1">
        <f t="array" ref="O15">IF(InvDump[[#This Row],[Company]]&lt;&gt;"",_xlfn.XLOOKUP(InvDump[[#This Row],[Company]]&amp;InvDump[[#This Row],[Location]],CustomerData!B:B&amp;CustomerData!C:C,CustomerData!F:F,"Email Not Maintained"),"")</f>
        <v/>
      </c>
      <c r="P15" s="26" t="str">
        <f>IF(InvDump[[#This Row],[InvAmount]]&lt;&gt;"",InvDump[[#This Row],[InvAmount]]*9%,"")</f>
        <v/>
      </c>
      <c r="Q15" s="26" t="str">
        <f>InvDump[[#This Row],[GST1]]</f>
        <v/>
      </c>
      <c r="R15" s="29" t="str">
        <f>IF(InvDump[[#This Row],[InvAmount]]&lt;&gt;"",SUM(InvDump[[#This Row],[InvAmount]:[GST2]]),"")</f>
        <v/>
      </c>
      <c r="S1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5" s="25" t="str" cm="1">
        <f t="array" ref="T15">IFERROR(FindFilePath(InvDump[[#This Row],[Invoice File Name]]&amp;".pdf",ControlPanel!$C$14), "")</f>
        <v/>
      </c>
      <c r="U1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5" s="25" t="str" cm="1">
        <f t="array" ref="V15">IFERROR(FindFilePath(InvDump[[#This Row],[Annexure File Name]]&amp;".pdf",ControlPanel!$C$14), "")</f>
        <v/>
      </c>
    </row>
    <row r="16" spans="1:22" x14ac:dyDescent="0.3">
      <c r="A16" s="41"/>
      <c r="B16" s="43"/>
      <c r="C16" s="44"/>
      <c r="D16" s="41"/>
      <c r="E16" s="41"/>
      <c r="F16" s="46"/>
      <c r="G16" s="47"/>
      <c r="H16" s="47"/>
      <c r="I16" s="41"/>
      <c r="J16" s="41"/>
      <c r="K16" s="18" t="str">
        <f>IF(InvDump[[#This Row],[InvoiceNo]]&lt;&gt;"","Sir/Ma'am","")</f>
        <v/>
      </c>
      <c r="L16" s="28" t="str" cm="1">
        <f t="array" ref="L16">IF(InvDump[[#This Row],[Company]]&lt;&gt;"",_xlfn.XLOOKUP(InvDump[[#This Row],[Company]]&amp;InvDump[[#This Row],[Location]],CustomerData!B:B&amp;CustomerData!C:C,CustomerData!E:E,"Email Not Maintained"),"")</f>
        <v/>
      </c>
      <c r="M16" s="18" t="str">
        <f>IF(InvDump[[#This Row],[InvoiceNo]]&lt;&gt;"",CustomerData!$G$2,"")</f>
        <v/>
      </c>
      <c r="N16" s="19" t="str">
        <f>IF(InvDump[[#This Row],[InvoiceNo]]&lt;&gt;"",CustomerData!$H$2,"")</f>
        <v/>
      </c>
      <c r="O16" s="28" t="str" cm="1">
        <f t="array" ref="O16">IF(InvDump[[#This Row],[Company]]&lt;&gt;"",_xlfn.XLOOKUP(InvDump[[#This Row],[Company]]&amp;InvDump[[#This Row],[Location]],CustomerData!B:B&amp;CustomerData!C:C,CustomerData!F:F,"Email Not Maintained"),"")</f>
        <v/>
      </c>
      <c r="P16" s="26" t="str">
        <f>IF(InvDump[[#This Row],[InvAmount]]&lt;&gt;"",InvDump[[#This Row],[InvAmount]]*9%,"")</f>
        <v/>
      </c>
      <c r="Q16" s="26" t="str">
        <f>InvDump[[#This Row],[GST1]]</f>
        <v/>
      </c>
      <c r="R16" s="29" t="str">
        <f>IF(InvDump[[#This Row],[InvAmount]]&lt;&gt;"",SUM(InvDump[[#This Row],[InvAmount]:[GST2]]),"")</f>
        <v/>
      </c>
      <c r="S1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6" s="25" t="str" cm="1">
        <f t="array" ref="T16">IFERROR(FindFilePath(InvDump[[#This Row],[Invoice File Name]]&amp;".pdf",ControlPanel!$C$14), "")</f>
        <v/>
      </c>
      <c r="U1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6" s="25" t="str" cm="1">
        <f t="array" ref="V16">IFERROR(FindFilePath(InvDump[[#This Row],[Annexure File Name]]&amp;".pdf",ControlPanel!$C$14), "")</f>
        <v/>
      </c>
    </row>
    <row r="17" spans="1:22" x14ac:dyDescent="0.3">
      <c r="A17" s="41"/>
      <c r="B17" s="43"/>
      <c r="C17" s="44"/>
      <c r="D17" s="41"/>
      <c r="E17" s="41"/>
      <c r="F17" s="46"/>
      <c r="G17" s="47"/>
      <c r="H17" s="47"/>
      <c r="I17" s="41"/>
      <c r="J17" s="41"/>
      <c r="K17" s="18" t="str">
        <f>IF(InvDump[[#This Row],[InvoiceNo]]&lt;&gt;"","Sir/Ma'am","")</f>
        <v/>
      </c>
      <c r="L17" s="28" t="str" cm="1">
        <f t="array" ref="L17">IF(InvDump[[#This Row],[Company]]&lt;&gt;"",_xlfn.XLOOKUP(InvDump[[#This Row],[Company]]&amp;InvDump[[#This Row],[Location]],CustomerData!B:B&amp;CustomerData!C:C,CustomerData!E:E,"Email Not Maintained"),"")</f>
        <v/>
      </c>
      <c r="M17" s="18" t="str">
        <f>IF(InvDump[[#This Row],[InvoiceNo]]&lt;&gt;"",CustomerData!$G$2,"")</f>
        <v/>
      </c>
      <c r="N17" s="19" t="str">
        <f>IF(InvDump[[#This Row],[InvoiceNo]]&lt;&gt;"",CustomerData!$H$2,"")</f>
        <v/>
      </c>
      <c r="O17" s="28" t="str" cm="1">
        <f t="array" ref="O17">IF(InvDump[[#This Row],[Company]]&lt;&gt;"",_xlfn.XLOOKUP(InvDump[[#This Row],[Company]]&amp;InvDump[[#This Row],[Location]],CustomerData!B:B&amp;CustomerData!C:C,CustomerData!F:F,"Email Not Maintained"),"")</f>
        <v/>
      </c>
      <c r="P17" s="26" t="str">
        <f>IF(InvDump[[#This Row],[InvAmount]]&lt;&gt;"",InvDump[[#This Row],[InvAmount]]*9%,"")</f>
        <v/>
      </c>
      <c r="Q17" s="26" t="str">
        <f>InvDump[[#This Row],[GST1]]</f>
        <v/>
      </c>
      <c r="R17" s="29" t="str">
        <f>IF(InvDump[[#This Row],[InvAmount]]&lt;&gt;"",SUM(InvDump[[#This Row],[InvAmount]:[GST2]]),"")</f>
        <v/>
      </c>
      <c r="S1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7" s="25" t="str" cm="1">
        <f t="array" ref="T17">IFERROR(FindFilePath(InvDump[[#This Row],[Invoice File Name]]&amp;".pdf",ControlPanel!$C$14), "")</f>
        <v/>
      </c>
      <c r="U1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7" s="25" t="str" cm="1">
        <f t="array" ref="V17">IFERROR(FindFilePath(InvDump[[#This Row],[Annexure File Name]]&amp;".pdf",ControlPanel!$C$14), "")</f>
        <v/>
      </c>
    </row>
    <row r="18" spans="1:22" x14ac:dyDescent="0.3">
      <c r="A18" s="41"/>
      <c r="B18" s="43"/>
      <c r="C18" s="44"/>
      <c r="D18" s="41"/>
      <c r="E18" s="41"/>
      <c r="F18" s="46"/>
      <c r="G18" s="47"/>
      <c r="H18" s="47"/>
      <c r="I18" s="41"/>
      <c r="J18" s="41"/>
      <c r="K18" s="18" t="str">
        <f>IF(InvDump[[#This Row],[InvoiceNo]]&lt;&gt;"","Sir/Ma'am","")</f>
        <v/>
      </c>
      <c r="L18" s="28" t="str" cm="1">
        <f t="array" ref="L18">IF(InvDump[[#This Row],[Company]]&lt;&gt;"",_xlfn.XLOOKUP(InvDump[[#This Row],[Company]]&amp;InvDump[[#This Row],[Location]],CustomerData!B:B&amp;CustomerData!C:C,CustomerData!E:E,"Email Not Maintained"),"")</f>
        <v/>
      </c>
      <c r="M18" s="18" t="str">
        <f>IF(InvDump[[#This Row],[InvoiceNo]]&lt;&gt;"",CustomerData!$G$2,"")</f>
        <v/>
      </c>
      <c r="N18" s="19" t="str">
        <f>IF(InvDump[[#This Row],[InvoiceNo]]&lt;&gt;"",CustomerData!$H$2,"")</f>
        <v/>
      </c>
      <c r="O18" s="28" t="str" cm="1">
        <f t="array" ref="O18">IF(InvDump[[#This Row],[Company]]&lt;&gt;"",_xlfn.XLOOKUP(InvDump[[#This Row],[Company]]&amp;InvDump[[#This Row],[Location]],CustomerData!B:B&amp;CustomerData!C:C,CustomerData!F:F,"Email Not Maintained"),"")</f>
        <v/>
      </c>
      <c r="P18" s="26" t="str">
        <f>IF(InvDump[[#This Row],[InvAmount]]&lt;&gt;"",InvDump[[#This Row],[InvAmount]]*9%,"")</f>
        <v/>
      </c>
      <c r="Q18" s="26" t="str">
        <f>InvDump[[#This Row],[GST1]]</f>
        <v/>
      </c>
      <c r="R18" s="29" t="str">
        <f>IF(InvDump[[#This Row],[InvAmount]]&lt;&gt;"",SUM(InvDump[[#This Row],[InvAmount]:[GST2]]),"")</f>
        <v/>
      </c>
      <c r="S1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8" s="25" t="str" cm="1">
        <f t="array" ref="T18">IFERROR(FindFilePath(InvDump[[#This Row],[Invoice File Name]]&amp;".pdf",ControlPanel!$C$14), "")</f>
        <v/>
      </c>
      <c r="U1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8" s="25" t="str" cm="1">
        <f t="array" ref="V18">IFERROR(FindFilePath(InvDump[[#This Row],[Annexure File Name]]&amp;".pdf",ControlPanel!$C$14), "")</f>
        <v/>
      </c>
    </row>
    <row r="19" spans="1:22" x14ac:dyDescent="0.3">
      <c r="A19" s="41"/>
      <c r="B19" s="43"/>
      <c r="C19" s="44"/>
      <c r="D19" s="41"/>
      <c r="E19" s="41"/>
      <c r="F19" s="46"/>
      <c r="G19" s="47"/>
      <c r="H19" s="47"/>
      <c r="I19" s="41"/>
      <c r="J19" s="41"/>
      <c r="K19" s="18" t="str">
        <f>IF(InvDump[[#This Row],[InvoiceNo]]&lt;&gt;"","Sir/Ma'am","")</f>
        <v/>
      </c>
      <c r="L19" s="28" t="str" cm="1">
        <f t="array" ref="L19">IF(InvDump[[#This Row],[Company]]&lt;&gt;"",_xlfn.XLOOKUP(InvDump[[#This Row],[Company]]&amp;InvDump[[#This Row],[Location]],CustomerData!B:B&amp;CustomerData!C:C,CustomerData!E:E,"Email Not Maintained"),"")</f>
        <v/>
      </c>
      <c r="M19" s="18" t="str">
        <f>IF(InvDump[[#This Row],[InvoiceNo]]&lt;&gt;"",CustomerData!$G$2,"")</f>
        <v/>
      </c>
      <c r="N19" s="19" t="str">
        <f>IF(InvDump[[#This Row],[InvoiceNo]]&lt;&gt;"",CustomerData!$H$2,"")</f>
        <v/>
      </c>
      <c r="O19" s="28" t="str" cm="1">
        <f t="array" ref="O19">IF(InvDump[[#This Row],[Company]]&lt;&gt;"",_xlfn.XLOOKUP(InvDump[[#This Row],[Company]]&amp;InvDump[[#This Row],[Location]],CustomerData!B:B&amp;CustomerData!C:C,CustomerData!F:F,"Email Not Maintained"),"")</f>
        <v/>
      </c>
      <c r="P19" s="26" t="str">
        <f>IF(InvDump[[#This Row],[InvAmount]]&lt;&gt;"",InvDump[[#This Row],[InvAmount]]*9%,"")</f>
        <v/>
      </c>
      <c r="Q19" s="26" t="str">
        <f>InvDump[[#This Row],[GST1]]</f>
        <v/>
      </c>
      <c r="R19" s="29" t="str">
        <f>IF(InvDump[[#This Row],[InvAmount]]&lt;&gt;"",SUM(InvDump[[#This Row],[InvAmount]:[GST2]]),"")</f>
        <v/>
      </c>
      <c r="S1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19" s="25" t="str" cm="1">
        <f t="array" ref="T19">IFERROR(FindFilePath(InvDump[[#This Row],[Invoice File Name]]&amp;".pdf",ControlPanel!$C$14), "")</f>
        <v/>
      </c>
      <c r="U1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19" s="25" t="str" cm="1">
        <f t="array" ref="V19">IFERROR(FindFilePath(InvDump[[#This Row],[Annexure File Name]]&amp;".pdf",ControlPanel!$C$14), "")</f>
        <v/>
      </c>
    </row>
    <row r="20" spans="1:22" x14ac:dyDescent="0.3">
      <c r="A20" s="41"/>
      <c r="B20" s="43"/>
      <c r="C20" s="44"/>
      <c r="D20" s="41"/>
      <c r="E20" s="41"/>
      <c r="F20" s="46"/>
      <c r="G20" s="47"/>
      <c r="H20" s="47"/>
      <c r="I20" s="41"/>
      <c r="J20" s="41"/>
      <c r="K20" s="18" t="str">
        <f>IF(InvDump[[#This Row],[InvoiceNo]]&lt;&gt;"","Sir/Ma'am","")</f>
        <v/>
      </c>
      <c r="L20" s="28" t="str" cm="1">
        <f t="array" ref="L20">IF(InvDump[[#This Row],[Company]]&lt;&gt;"",_xlfn.XLOOKUP(InvDump[[#This Row],[Company]]&amp;InvDump[[#This Row],[Location]],CustomerData!B:B&amp;CustomerData!C:C,CustomerData!E:E,"Email Not Maintained"),"")</f>
        <v/>
      </c>
      <c r="M20" s="18" t="str">
        <f>IF(InvDump[[#This Row],[InvoiceNo]]&lt;&gt;"",CustomerData!$G$2,"")</f>
        <v/>
      </c>
      <c r="N20" s="19" t="str">
        <f>IF(InvDump[[#This Row],[InvoiceNo]]&lt;&gt;"",CustomerData!$H$2,"")</f>
        <v/>
      </c>
      <c r="O20" s="28" t="str" cm="1">
        <f t="array" ref="O20">IF(InvDump[[#This Row],[Company]]&lt;&gt;"",_xlfn.XLOOKUP(InvDump[[#This Row],[Company]]&amp;InvDump[[#This Row],[Location]],CustomerData!B:B&amp;CustomerData!C:C,CustomerData!F:F,"Email Not Maintained"),"")</f>
        <v/>
      </c>
      <c r="P20" s="26" t="str">
        <f>IF(InvDump[[#This Row],[InvAmount]]&lt;&gt;"",InvDump[[#This Row],[InvAmount]]*9%,"")</f>
        <v/>
      </c>
      <c r="Q20" s="26" t="str">
        <f>InvDump[[#This Row],[GST1]]</f>
        <v/>
      </c>
      <c r="R20" s="29" t="str">
        <f>IF(InvDump[[#This Row],[InvAmount]]&lt;&gt;"",SUM(InvDump[[#This Row],[InvAmount]:[GST2]]),"")</f>
        <v/>
      </c>
      <c r="S2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0" s="25" t="str" cm="1">
        <f t="array" ref="T20">IFERROR(FindFilePath(InvDump[[#This Row],[Invoice File Name]]&amp;".pdf",ControlPanel!$C$14), "")</f>
        <v/>
      </c>
      <c r="U2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0" s="25" t="str" cm="1">
        <f t="array" ref="V20">IFERROR(FindFilePath(InvDump[[#This Row],[Annexure File Name]]&amp;".pdf",ControlPanel!$C$14), "")</f>
        <v/>
      </c>
    </row>
    <row r="21" spans="1:22" x14ac:dyDescent="0.3">
      <c r="A21" s="41"/>
      <c r="B21" s="43"/>
      <c r="C21" s="44"/>
      <c r="D21" s="41"/>
      <c r="E21" s="41"/>
      <c r="F21" s="46"/>
      <c r="G21" s="47"/>
      <c r="H21" s="47"/>
      <c r="I21" s="41"/>
      <c r="J21" s="41"/>
      <c r="K21" s="18" t="str">
        <f>IF(InvDump[[#This Row],[InvoiceNo]]&lt;&gt;"","Sir/Ma'am","")</f>
        <v/>
      </c>
      <c r="L21" s="28" t="str" cm="1">
        <f t="array" ref="L21">IF(InvDump[[#This Row],[Company]]&lt;&gt;"",_xlfn.XLOOKUP(InvDump[[#This Row],[Company]]&amp;InvDump[[#This Row],[Location]],CustomerData!B:B&amp;CustomerData!C:C,CustomerData!E:E,"Email Not Maintained"),"")</f>
        <v/>
      </c>
      <c r="M21" s="18" t="str">
        <f>IF(InvDump[[#This Row],[InvoiceNo]]&lt;&gt;"",CustomerData!$G$2,"")</f>
        <v/>
      </c>
      <c r="N21" s="19" t="str">
        <f>IF(InvDump[[#This Row],[InvoiceNo]]&lt;&gt;"",CustomerData!$H$2,"")</f>
        <v/>
      </c>
      <c r="O21" s="28" t="str" cm="1">
        <f t="array" ref="O21">IF(InvDump[[#This Row],[Company]]&lt;&gt;"",_xlfn.XLOOKUP(InvDump[[#This Row],[Company]]&amp;InvDump[[#This Row],[Location]],CustomerData!B:B&amp;CustomerData!C:C,CustomerData!F:F,"Email Not Maintained"),"")</f>
        <v/>
      </c>
      <c r="P21" s="26" t="str">
        <f>IF(InvDump[[#This Row],[InvAmount]]&lt;&gt;"",InvDump[[#This Row],[InvAmount]]*9%,"")</f>
        <v/>
      </c>
      <c r="Q21" s="26" t="str">
        <f>InvDump[[#This Row],[GST1]]</f>
        <v/>
      </c>
      <c r="R21" s="29" t="str">
        <f>IF(InvDump[[#This Row],[InvAmount]]&lt;&gt;"",SUM(InvDump[[#This Row],[InvAmount]:[GST2]]),"")</f>
        <v/>
      </c>
      <c r="S2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1" s="25" t="str" cm="1">
        <f t="array" ref="T21">IFERROR(FindFilePath(InvDump[[#This Row],[Invoice File Name]]&amp;".pdf",ControlPanel!$C$14), "")</f>
        <v/>
      </c>
      <c r="U2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1" s="25" t="str" cm="1">
        <f t="array" ref="V21">IFERROR(FindFilePath(InvDump[[#This Row],[Annexure File Name]]&amp;".pdf",ControlPanel!$C$14), "")</f>
        <v/>
      </c>
    </row>
    <row r="22" spans="1:22" x14ac:dyDescent="0.3">
      <c r="A22" s="41"/>
      <c r="B22" s="43"/>
      <c r="C22" s="44"/>
      <c r="D22" s="41"/>
      <c r="E22" s="41"/>
      <c r="F22" s="46"/>
      <c r="G22" s="47"/>
      <c r="H22" s="47"/>
      <c r="I22" s="41"/>
      <c r="J22" s="41"/>
      <c r="K22" s="18" t="str">
        <f>IF(InvDump[[#This Row],[InvoiceNo]]&lt;&gt;"","Sir/Ma'am","")</f>
        <v/>
      </c>
      <c r="L22" s="28" t="str" cm="1">
        <f t="array" ref="L22">IF(InvDump[[#This Row],[Company]]&lt;&gt;"",_xlfn.XLOOKUP(InvDump[[#This Row],[Company]]&amp;InvDump[[#This Row],[Location]],CustomerData!B:B&amp;CustomerData!C:C,CustomerData!E:E,"Email Not Maintained"),"")</f>
        <v/>
      </c>
      <c r="M22" s="18" t="str">
        <f>IF(InvDump[[#This Row],[InvoiceNo]]&lt;&gt;"",CustomerData!$G$2,"")</f>
        <v/>
      </c>
      <c r="N22" s="19" t="str">
        <f>IF(InvDump[[#This Row],[InvoiceNo]]&lt;&gt;"",CustomerData!$H$2,"")</f>
        <v/>
      </c>
      <c r="O22" s="28" t="str" cm="1">
        <f t="array" ref="O22">IF(InvDump[[#This Row],[Company]]&lt;&gt;"",_xlfn.XLOOKUP(InvDump[[#This Row],[Company]]&amp;InvDump[[#This Row],[Location]],CustomerData!B:B&amp;CustomerData!C:C,CustomerData!F:F,"Email Not Maintained"),"")</f>
        <v/>
      </c>
      <c r="P22" s="26" t="str">
        <f>IF(InvDump[[#This Row],[InvAmount]]&lt;&gt;"",InvDump[[#This Row],[InvAmount]]*9%,"")</f>
        <v/>
      </c>
      <c r="Q22" s="26" t="str">
        <f>InvDump[[#This Row],[GST1]]</f>
        <v/>
      </c>
      <c r="R22" s="29" t="str">
        <f>IF(InvDump[[#This Row],[InvAmount]]&lt;&gt;"",SUM(InvDump[[#This Row],[InvAmount]:[GST2]]),"")</f>
        <v/>
      </c>
      <c r="S2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2" s="25" t="str" cm="1">
        <f t="array" ref="T22">IFERROR(FindFilePath(InvDump[[#This Row],[Invoice File Name]]&amp;".pdf",ControlPanel!$C$14), "")</f>
        <v/>
      </c>
      <c r="U2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2" s="25" t="str" cm="1">
        <f t="array" ref="V22">IFERROR(FindFilePath(InvDump[[#This Row],[Annexure File Name]]&amp;".pdf",ControlPanel!$C$14), "")</f>
        <v/>
      </c>
    </row>
    <row r="23" spans="1:22" x14ac:dyDescent="0.3">
      <c r="A23" s="41"/>
      <c r="B23" s="43"/>
      <c r="C23" s="44"/>
      <c r="D23" s="41"/>
      <c r="E23" s="41"/>
      <c r="F23" s="46"/>
      <c r="G23" s="47"/>
      <c r="H23" s="47"/>
      <c r="I23" s="41"/>
      <c r="J23" s="41"/>
      <c r="K23" s="18" t="str">
        <f>IF(InvDump[[#This Row],[InvoiceNo]]&lt;&gt;"","Sir/Ma'am","")</f>
        <v/>
      </c>
      <c r="L23" s="28" t="str" cm="1">
        <f t="array" ref="L23">IF(InvDump[[#This Row],[Company]]&lt;&gt;"",_xlfn.XLOOKUP(InvDump[[#This Row],[Company]]&amp;InvDump[[#This Row],[Location]],CustomerData!B:B&amp;CustomerData!C:C,CustomerData!E:E,"Email Not Maintained"),"")</f>
        <v/>
      </c>
      <c r="M23" s="18" t="str">
        <f>IF(InvDump[[#This Row],[InvoiceNo]]&lt;&gt;"",CustomerData!$G$2,"")</f>
        <v/>
      </c>
      <c r="N23" s="19" t="str">
        <f>IF(InvDump[[#This Row],[InvoiceNo]]&lt;&gt;"",CustomerData!$H$2,"")</f>
        <v/>
      </c>
      <c r="O23" s="28" t="str" cm="1">
        <f t="array" ref="O23">IF(InvDump[[#This Row],[Company]]&lt;&gt;"",_xlfn.XLOOKUP(InvDump[[#This Row],[Company]]&amp;InvDump[[#This Row],[Location]],CustomerData!B:B&amp;CustomerData!C:C,CustomerData!F:F,"Email Not Maintained"),"")</f>
        <v/>
      </c>
      <c r="P23" s="26" t="str">
        <f>IF(InvDump[[#This Row],[InvAmount]]&lt;&gt;"",InvDump[[#This Row],[InvAmount]]*9%,"")</f>
        <v/>
      </c>
      <c r="Q23" s="26" t="str">
        <f>InvDump[[#This Row],[GST1]]</f>
        <v/>
      </c>
      <c r="R23" s="29" t="str">
        <f>IF(InvDump[[#This Row],[InvAmount]]&lt;&gt;"",SUM(InvDump[[#This Row],[InvAmount]:[GST2]]),"")</f>
        <v/>
      </c>
      <c r="S2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3" s="25" t="str" cm="1">
        <f t="array" ref="T23">IFERROR(FindFilePath(InvDump[[#This Row],[Invoice File Name]]&amp;".pdf",ControlPanel!$C$14), "")</f>
        <v/>
      </c>
      <c r="U2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3" s="25" t="str" cm="1">
        <f t="array" ref="V23">IFERROR(FindFilePath(InvDump[[#This Row],[Annexure File Name]]&amp;".pdf",ControlPanel!$C$14), "")</f>
        <v/>
      </c>
    </row>
    <row r="24" spans="1:22" x14ac:dyDescent="0.3">
      <c r="A24" s="41"/>
      <c r="B24" s="43"/>
      <c r="C24" s="44"/>
      <c r="D24" s="41"/>
      <c r="E24" s="41"/>
      <c r="F24" s="46"/>
      <c r="G24" s="47"/>
      <c r="H24" s="47"/>
      <c r="I24" s="41"/>
      <c r="J24" s="41"/>
      <c r="K24" s="18" t="str">
        <f>IF(InvDump[[#This Row],[InvoiceNo]]&lt;&gt;"","Sir/Ma'am","")</f>
        <v/>
      </c>
      <c r="L24" s="28" t="str" cm="1">
        <f t="array" ref="L24">IF(InvDump[[#This Row],[Company]]&lt;&gt;"",_xlfn.XLOOKUP(InvDump[[#This Row],[Company]]&amp;InvDump[[#This Row],[Location]],CustomerData!B:B&amp;CustomerData!C:C,CustomerData!E:E,"Email Not Maintained"),"")</f>
        <v/>
      </c>
      <c r="M24" s="18" t="str">
        <f>IF(InvDump[[#This Row],[InvoiceNo]]&lt;&gt;"",CustomerData!$G$2,"")</f>
        <v/>
      </c>
      <c r="N24" s="19" t="str">
        <f>IF(InvDump[[#This Row],[InvoiceNo]]&lt;&gt;"",CustomerData!$H$2,"")</f>
        <v/>
      </c>
      <c r="O24" s="28" t="str" cm="1">
        <f t="array" ref="O24">IF(InvDump[[#This Row],[Company]]&lt;&gt;"",_xlfn.XLOOKUP(InvDump[[#This Row],[Company]]&amp;InvDump[[#This Row],[Location]],CustomerData!B:B&amp;CustomerData!C:C,CustomerData!F:F,"Email Not Maintained"),"")</f>
        <v/>
      </c>
      <c r="P24" s="26" t="str">
        <f>IF(InvDump[[#This Row],[InvAmount]]&lt;&gt;"",InvDump[[#This Row],[InvAmount]]*9%,"")</f>
        <v/>
      </c>
      <c r="Q24" s="26" t="str">
        <f>InvDump[[#This Row],[GST1]]</f>
        <v/>
      </c>
      <c r="R24" s="29" t="str">
        <f>IF(InvDump[[#This Row],[InvAmount]]&lt;&gt;"",SUM(InvDump[[#This Row],[InvAmount]:[GST2]]),"")</f>
        <v/>
      </c>
      <c r="S2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4" s="25" t="str" cm="1">
        <f t="array" ref="T24">IFERROR(FindFilePath(InvDump[[#This Row],[Invoice File Name]]&amp;".pdf",ControlPanel!$C$14), "")</f>
        <v/>
      </c>
      <c r="U2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4" s="25" t="str" cm="1">
        <f t="array" ref="V24">IFERROR(FindFilePath(InvDump[[#This Row],[Annexure File Name]]&amp;".pdf",ControlPanel!$C$14), "")</f>
        <v/>
      </c>
    </row>
    <row r="25" spans="1:22" x14ac:dyDescent="0.3">
      <c r="A25" s="41"/>
      <c r="B25" s="43"/>
      <c r="C25" s="44"/>
      <c r="D25" s="41"/>
      <c r="E25" s="41"/>
      <c r="F25" s="46"/>
      <c r="G25" s="47"/>
      <c r="H25" s="47"/>
      <c r="I25" s="41"/>
      <c r="J25" s="41"/>
      <c r="K25" s="18" t="str">
        <f>IF(InvDump[[#This Row],[InvoiceNo]]&lt;&gt;"","Sir/Ma'am","")</f>
        <v/>
      </c>
      <c r="L25" s="28" t="str" cm="1">
        <f t="array" ref="L25">IF(InvDump[[#This Row],[Company]]&lt;&gt;"",_xlfn.XLOOKUP(InvDump[[#This Row],[Company]]&amp;InvDump[[#This Row],[Location]],CustomerData!B:B&amp;CustomerData!C:C,CustomerData!E:E,"Email Not Maintained"),"")</f>
        <v/>
      </c>
      <c r="M25" s="18" t="str">
        <f>IF(InvDump[[#This Row],[InvoiceNo]]&lt;&gt;"",CustomerData!$G$2,"")</f>
        <v/>
      </c>
      <c r="N25" s="19" t="str">
        <f>IF(InvDump[[#This Row],[InvoiceNo]]&lt;&gt;"",CustomerData!$H$2,"")</f>
        <v/>
      </c>
      <c r="O25" s="28" t="str" cm="1">
        <f t="array" ref="O25">IF(InvDump[[#This Row],[Company]]&lt;&gt;"",_xlfn.XLOOKUP(InvDump[[#This Row],[Company]]&amp;InvDump[[#This Row],[Location]],CustomerData!B:B&amp;CustomerData!C:C,CustomerData!F:F,"Email Not Maintained"),"")</f>
        <v/>
      </c>
      <c r="P25" s="26" t="str">
        <f>IF(InvDump[[#This Row],[InvAmount]]&lt;&gt;"",InvDump[[#This Row],[InvAmount]]*9%,"")</f>
        <v/>
      </c>
      <c r="Q25" s="26" t="str">
        <f>InvDump[[#This Row],[GST1]]</f>
        <v/>
      </c>
      <c r="R25" s="29" t="str">
        <f>IF(InvDump[[#This Row],[InvAmount]]&lt;&gt;"",SUM(InvDump[[#This Row],[InvAmount]:[GST2]]),"")</f>
        <v/>
      </c>
      <c r="S2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5" s="25" t="str" cm="1">
        <f t="array" ref="T25">IFERROR(FindFilePath(InvDump[[#This Row],[Invoice File Name]]&amp;".pdf",ControlPanel!$C$14), "")</f>
        <v/>
      </c>
      <c r="U2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5" s="25" t="str" cm="1">
        <f t="array" ref="V25">IFERROR(FindFilePath(InvDump[[#This Row],[Annexure File Name]]&amp;".pdf",ControlPanel!$C$14), "")</f>
        <v/>
      </c>
    </row>
    <row r="26" spans="1:22" x14ac:dyDescent="0.3">
      <c r="A26" s="41"/>
      <c r="B26" s="43"/>
      <c r="C26" s="44"/>
      <c r="D26" s="41"/>
      <c r="E26" s="41"/>
      <c r="F26" s="46"/>
      <c r="G26" s="47"/>
      <c r="H26" s="47"/>
      <c r="I26" s="41"/>
      <c r="J26" s="41"/>
      <c r="K26" s="18" t="str">
        <f>IF(InvDump[[#This Row],[InvoiceNo]]&lt;&gt;"","Sir/Ma'am","")</f>
        <v/>
      </c>
      <c r="L26" s="28" t="str" cm="1">
        <f t="array" ref="L26">IF(InvDump[[#This Row],[Company]]&lt;&gt;"",_xlfn.XLOOKUP(InvDump[[#This Row],[Company]]&amp;InvDump[[#This Row],[Location]],CustomerData!B:B&amp;CustomerData!C:C,CustomerData!E:E,"Email Not Maintained"),"")</f>
        <v/>
      </c>
      <c r="M26" s="18" t="str">
        <f>IF(InvDump[[#This Row],[InvoiceNo]]&lt;&gt;"",CustomerData!$G$2,"")</f>
        <v/>
      </c>
      <c r="N26" s="19" t="str">
        <f>IF(InvDump[[#This Row],[InvoiceNo]]&lt;&gt;"",CustomerData!$H$2,"")</f>
        <v/>
      </c>
      <c r="O26" s="28" t="str" cm="1">
        <f t="array" ref="O26">IF(InvDump[[#This Row],[Company]]&lt;&gt;"",_xlfn.XLOOKUP(InvDump[[#This Row],[Company]]&amp;InvDump[[#This Row],[Location]],CustomerData!B:B&amp;CustomerData!C:C,CustomerData!F:F,"Email Not Maintained"),"")</f>
        <v/>
      </c>
      <c r="P26" s="26" t="str">
        <f>IF(InvDump[[#This Row],[InvAmount]]&lt;&gt;"",InvDump[[#This Row],[InvAmount]]*9%,"")</f>
        <v/>
      </c>
      <c r="Q26" s="26" t="str">
        <f>InvDump[[#This Row],[GST1]]</f>
        <v/>
      </c>
      <c r="R26" s="29" t="str">
        <f>IF(InvDump[[#This Row],[InvAmount]]&lt;&gt;"",SUM(InvDump[[#This Row],[InvAmount]:[GST2]]),"")</f>
        <v/>
      </c>
      <c r="S2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6" s="25" t="str" cm="1">
        <f t="array" ref="T26">IFERROR(FindFilePath(InvDump[[#This Row],[Invoice File Name]]&amp;".pdf",ControlPanel!$C$14), "")</f>
        <v/>
      </c>
      <c r="U2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6" s="25" t="str" cm="1">
        <f t="array" ref="V26">IFERROR(FindFilePath(InvDump[[#This Row],[Annexure File Name]]&amp;".pdf",ControlPanel!$C$14), "")</f>
        <v/>
      </c>
    </row>
    <row r="27" spans="1:22" x14ac:dyDescent="0.3">
      <c r="A27" s="41"/>
      <c r="B27" s="43"/>
      <c r="C27" s="44"/>
      <c r="D27" s="41"/>
      <c r="E27" s="41"/>
      <c r="F27" s="46"/>
      <c r="G27" s="47"/>
      <c r="H27" s="47"/>
      <c r="I27" s="41"/>
      <c r="J27" s="41"/>
      <c r="K27" s="18" t="str">
        <f>IF(InvDump[[#This Row],[InvoiceNo]]&lt;&gt;"","Sir/Ma'am","")</f>
        <v/>
      </c>
      <c r="L27" s="28" t="str" cm="1">
        <f t="array" ref="L27">IF(InvDump[[#This Row],[Company]]&lt;&gt;"",_xlfn.XLOOKUP(InvDump[[#This Row],[Company]]&amp;InvDump[[#This Row],[Location]],CustomerData!B:B&amp;CustomerData!C:C,CustomerData!E:E,"Email Not Maintained"),"")</f>
        <v/>
      </c>
      <c r="M27" s="18" t="str">
        <f>IF(InvDump[[#This Row],[InvoiceNo]]&lt;&gt;"",CustomerData!$G$2,"")</f>
        <v/>
      </c>
      <c r="N27" s="19" t="str">
        <f>IF(InvDump[[#This Row],[InvoiceNo]]&lt;&gt;"",CustomerData!$H$2,"")</f>
        <v/>
      </c>
      <c r="O27" s="28" t="str" cm="1">
        <f t="array" ref="O27">IF(InvDump[[#This Row],[Company]]&lt;&gt;"",_xlfn.XLOOKUP(InvDump[[#This Row],[Company]]&amp;InvDump[[#This Row],[Location]],CustomerData!B:B&amp;CustomerData!C:C,CustomerData!F:F,"Email Not Maintained"),"")</f>
        <v/>
      </c>
      <c r="P27" s="26" t="str">
        <f>IF(InvDump[[#This Row],[InvAmount]]&lt;&gt;"",InvDump[[#This Row],[InvAmount]]*9%,"")</f>
        <v/>
      </c>
      <c r="Q27" s="26" t="str">
        <f>InvDump[[#This Row],[GST1]]</f>
        <v/>
      </c>
      <c r="R27" s="29" t="str">
        <f>IF(InvDump[[#This Row],[InvAmount]]&lt;&gt;"",SUM(InvDump[[#This Row],[InvAmount]:[GST2]]),"")</f>
        <v/>
      </c>
      <c r="S2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7" s="25" t="str" cm="1">
        <f t="array" ref="T27">IFERROR(FindFilePath(InvDump[[#This Row],[Invoice File Name]]&amp;".pdf",ControlPanel!$C$14), "")</f>
        <v/>
      </c>
      <c r="U2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7" s="25" t="str" cm="1">
        <f t="array" ref="V27">IFERROR(FindFilePath(InvDump[[#This Row],[Annexure File Name]]&amp;".pdf",ControlPanel!$C$14), "")</f>
        <v/>
      </c>
    </row>
    <row r="28" spans="1:22" x14ac:dyDescent="0.3">
      <c r="A28" s="41"/>
      <c r="B28" s="43"/>
      <c r="C28" s="44"/>
      <c r="D28" s="41"/>
      <c r="E28" s="41"/>
      <c r="F28" s="46"/>
      <c r="G28" s="47"/>
      <c r="H28" s="47"/>
      <c r="I28" s="41"/>
      <c r="J28" s="41"/>
      <c r="K28" s="18" t="str">
        <f>IF(InvDump[[#This Row],[InvoiceNo]]&lt;&gt;"","Sir/Ma'am","")</f>
        <v/>
      </c>
      <c r="L28" s="28" t="str" cm="1">
        <f t="array" ref="L28">IF(InvDump[[#This Row],[Company]]&lt;&gt;"",_xlfn.XLOOKUP(InvDump[[#This Row],[Company]]&amp;InvDump[[#This Row],[Location]],CustomerData!B:B&amp;CustomerData!C:C,CustomerData!E:E,"Email Not Maintained"),"")</f>
        <v/>
      </c>
      <c r="M28" s="18" t="str">
        <f>IF(InvDump[[#This Row],[InvoiceNo]]&lt;&gt;"",CustomerData!$G$2,"")</f>
        <v/>
      </c>
      <c r="N28" s="19" t="str">
        <f>IF(InvDump[[#This Row],[InvoiceNo]]&lt;&gt;"",CustomerData!$H$2,"")</f>
        <v/>
      </c>
      <c r="O28" s="28" t="str" cm="1">
        <f t="array" ref="O28">IF(InvDump[[#This Row],[Company]]&lt;&gt;"",_xlfn.XLOOKUP(InvDump[[#This Row],[Company]]&amp;InvDump[[#This Row],[Location]],CustomerData!B:B&amp;CustomerData!C:C,CustomerData!F:F,"Email Not Maintained"),"")</f>
        <v/>
      </c>
      <c r="P28" s="26" t="str">
        <f>IF(InvDump[[#This Row],[InvAmount]]&lt;&gt;"",InvDump[[#This Row],[InvAmount]]*9%,"")</f>
        <v/>
      </c>
      <c r="Q28" s="26" t="str">
        <f>InvDump[[#This Row],[GST1]]</f>
        <v/>
      </c>
      <c r="R28" s="29" t="str">
        <f>IF(InvDump[[#This Row],[InvAmount]]&lt;&gt;"",SUM(InvDump[[#This Row],[InvAmount]:[GST2]]),"")</f>
        <v/>
      </c>
      <c r="S2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8" s="25" t="str" cm="1">
        <f t="array" ref="T28">IFERROR(FindFilePath(InvDump[[#This Row],[Invoice File Name]]&amp;".pdf",ControlPanel!$C$14), "")</f>
        <v/>
      </c>
      <c r="U2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8" s="25" t="str" cm="1">
        <f t="array" ref="V28">IFERROR(FindFilePath(InvDump[[#This Row],[Annexure File Name]]&amp;".pdf",ControlPanel!$C$14), "")</f>
        <v/>
      </c>
    </row>
    <row r="29" spans="1:22" x14ac:dyDescent="0.3">
      <c r="A29" s="41"/>
      <c r="B29" s="43"/>
      <c r="C29" s="44"/>
      <c r="D29" s="41"/>
      <c r="E29" s="41"/>
      <c r="F29" s="46"/>
      <c r="G29" s="47"/>
      <c r="H29" s="47"/>
      <c r="I29" s="41"/>
      <c r="J29" s="41"/>
      <c r="K29" s="18" t="str">
        <f>IF(InvDump[[#This Row],[InvoiceNo]]&lt;&gt;"","Sir/Ma'am","")</f>
        <v/>
      </c>
      <c r="L29" s="28" t="str" cm="1">
        <f t="array" ref="L29">IF(InvDump[[#This Row],[Company]]&lt;&gt;"",_xlfn.XLOOKUP(InvDump[[#This Row],[Company]]&amp;InvDump[[#This Row],[Location]],CustomerData!B:B&amp;CustomerData!C:C,CustomerData!E:E,"Email Not Maintained"),"")</f>
        <v/>
      </c>
      <c r="M29" s="18" t="str">
        <f>IF(InvDump[[#This Row],[InvoiceNo]]&lt;&gt;"",CustomerData!$G$2,"")</f>
        <v/>
      </c>
      <c r="N29" s="19" t="str">
        <f>IF(InvDump[[#This Row],[InvoiceNo]]&lt;&gt;"",CustomerData!$H$2,"")</f>
        <v/>
      </c>
      <c r="O29" s="28" t="str" cm="1">
        <f t="array" ref="O29">IF(InvDump[[#This Row],[Company]]&lt;&gt;"",_xlfn.XLOOKUP(InvDump[[#This Row],[Company]]&amp;InvDump[[#This Row],[Location]],CustomerData!B:B&amp;CustomerData!C:C,CustomerData!F:F,"Email Not Maintained"),"")</f>
        <v/>
      </c>
      <c r="P29" s="26" t="str">
        <f>IF(InvDump[[#This Row],[InvAmount]]&lt;&gt;"",InvDump[[#This Row],[InvAmount]]*9%,"")</f>
        <v/>
      </c>
      <c r="Q29" s="26" t="str">
        <f>InvDump[[#This Row],[GST1]]</f>
        <v/>
      </c>
      <c r="R29" s="29" t="str">
        <f>IF(InvDump[[#This Row],[InvAmount]]&lt;&gt;"",SUM(InvDump[[#This Row],[InvAmount]:[GST2]]),"")</f>
        <v/>
      </c>
      <c r="S2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29" s="25" t="str" cm="1">
        <f t="array" ref="T29">IFERROR(FindFilePath(InvDump[[#This Row],[Invoice File Name]]&amp;".pdf",ControlPanel!$C$14), "")</f>
        <v/>
      </c>
      <c r="U2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29" s="25" t="str" cm="1">
        <f t="array" ref="V29">IFERROR(FindFilePath(InvDump[[#This Row],[Annexure File Name]]&amp;".pdf",ControlPanel!$C$14), "")</f>
        <v/>
      </c>
    </row>
    <row r="30" spans="1:22" x14ac:dyDescent="0.3">
      <c r="A30" s="41"/>
      <c r="B30" s="43"/>
      <c r="C30" s="44"/>
      <c r="D30" s="41"/>
      <c r="E30" s="41"/>
      <c r="F30" s="46"/>
      <c r="G30" s="47"/>
      <c r="H30" s="47"/>
      <c r="I30" s="41"/>
      <c r="J30" s="41"/>
      <c r="K30" s="18" t="str">
        <f>IF(InvDump[[#This Row],[InvoiceNo]]&lt;&gt;"","Sir/Ma'am","")</f>
        <v/>
      </c>
      <c r="L30" s="28" t="str" cm="1">
        <f t="array" ref="L30">IF(InvDump[[#This Row],[Company]]&lt;&gt;"",_xlfn.XLOOKUP(InvDump[[#This Row],[Company]]&amp;InvDump[[#This Row],[Location]],CustomerData!B:B&amp;CustomerData!C:C,CustomerData!E:E,"Email Not Maintained"),"")</f>
        <v/>
      </c>
      <c r="M30" s="18" t="str">
        <f>IF(InvDump[[#This Row],[InvoiceNo]]&lt;&gt;"",CustomerData!$G$2,"")</f>
        <v/>
      </c>
      <c r="N30" s="19" t="str">
        <f>IF(InvDump[[#This Row],[InvoiceNo]]&lt;&gt;"",CustomerData!$H$2,"")</f>
        <v/>
      </c>
      <c r="O30" s="28" t="str" cm="1">
        <f t="array" ref="O30">IF(InvDump[[#This Row],[Company]]&lt;&gt;"",_xlfn.XLOOKUP(InvDump[[#This Row],[Company]]&amp;InvDump[[#This Row],[Location]],CustomerData!B:B&amp;CustomerData!C:C,CustomerData!F:F,"Email Not Maintained"),"")</f>
        <v/>
      </c>
      <c r="P30" s="26" t="str">
        <f>IF(InvDump[[#This Row],[InvAmount]]&lt;&gt;"",InvDump[[#This Row],[InvAmount]]*9%,"")</f>
        <v/>
      </c>
      <c r="Q30" s="26" t="str">
        <f>InvDump[[#This Row],[GST1]]</f>
        <v/>
      </c>
      <c r="R30" s="29" t="str">
        <f>IF(InvDump[[#This Row],[InvAmount]]&lt;&gt;"",SUM(InvDump[[#This Row],[InvAmount]:[GST2]]),"")</f>
        <v/>
      </c>
      <c r="S3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0" s="25" t="str" cm="1">
        <f t="array" ref="T30">IFERROR(FindFilePath(InvDump[[#This Row],[Invoice File Name]]&amp;".pdf",ControlPanel!$C$14), "")</f>
        <v/>
      </c>
      <c r="U3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0" s="25" t="str" cm="1">
        <f t="array" ref="V30">IFERROR(FindFilePath(InvDump[[#This Row],[Annexure File Name]]&amp;".pdf",ControlPanel!$C$14), "")</f>
        <v/>
      </c>
    </row>
    <row r="31" spans="1:22" x14ac:dyDescent="0.3">
      <c r="A31" s="41"/>
      <c r="B31" s="43"/>
      <c r="C31" s="44"/>
      <c r="D31" s="41"/>
      <c r="E31" s="41"/>
      <c r="F31" s="46"/>
      <c r="G31" s="47"/>
      <c r="H31" s="47"/>
      <c r="I31" s="41"/>
      <c r="J31" s="41"/>
      <c r="K31" s="18" t="str">
        <f>IF(InvDump[[#This Row],[InvoiceNo]]&lt;&gt;"","Sir/Ma'am","")</f>
        <v/>
      </c>
      <c r="L31" s="28" t="str" cm="1">
        <f t="array" ref="L31">IF(InvDump[[#This Row],[Company]]&lt;&gt;"",_xlfn.XLOOKUP(InvDump[[#This Row],[Company]]&amp;InvDump[[#This Row],[Location]],CustomerData!B:B&amp;CustomerData!C:C,CustomerData!E:E,"Email Not Maintained"),"")</f>
        <v/>
      </c>
      <c r="M31" s="18" t="str">
        <f>IF(InvDump[[#This Row],[InvoiceNo]]&lt;&gt;"",CustomerData!$G$2,"")</f>
        <v/>
      </c>
      <c r="N31" s="19" t="str">
        <f>IF(InvDump[[#This Row],[InvoiceNo]]&lt;&gt;"",CustomerData!$H$2,"")</f>
        <v/>
      </c>
      <c r="O31" s="28" t="str" cm="1">
        <f t="array" ref="O31">IF(InvDump[[#This Row],[Company]]&lt;&gt;"",_xlfn.XLOOKUP(InvDump[[#This Row],[Company]]&amp;InvDump[[#This Row],[Location]],CustomerData!B:B&amp;CustomerData!C:C,CustomerData!F:F,"Email Not Maintained"),"")</f>
        <v/>
      </c>
      <c r="P31" s="26" t="str">
        <f>IF(InvDump[[#This Row],[InvAmount]]&lt;&gt;"",InvDump[[#This Row],[InvAmount]]*9%,"")</f>
        <v/>
      </c>
      <c r="Q31" s="26" t="str">
        <f>InvDump[[#This Row],[GST1]]</f>
        <v/>
      </c>
      <c r="R31" s="29" t="str">
        <f>IF(InvDump[[#This Row],[InvAmount]]&lt;&gt;"",SUM(InvDump[[#This Row],[InvAmount]:[GST2]]),"")</f>
        <v/>
      </c>
      <c r="S3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1" s="25" t="str" cm="1">
        <f t="array" ref="T31">IFERROR(FindFilePath(InvDump[[#This Row],[Invoice File Name]]&amp;".pdf",ControlPanel!$C$14), "")</f>
        <v/>
      </c>
      <c r="U3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1" s="25" t="str" cm="1">
        <f t="array" ref="V31">IFERROR(FindFilePath(InvDump[[#This Row],[Annexure File Name]]&amp;".pdf",ControlPanel!$C$14), "")</f>
        <v/>
      </c>
    </row>
    <row r="32" spans="1:22" x14ac:dyDescent="0.3">
      <c r="A32" s="41"/>
      <c r="B32" s="43"/>
      <c r="C32" s="44"/>
      <c r="D32" s="41"/>
      <c r="E32" s="41"/>
      <c r="F32" s="46"/>
      <c r="G32" s="47"/>
      <c r="H32" s="47"/>
      <c r="I32" s="41"/>
      <c r="J32" s="41"/>
      <c r="K32" s="18" t="str">
        <f>IF(InvDump[[#This Row],[InvoiceNo]]&lt;&gt;"","Sir/Ma'am","")</f>
        <v/>
      </c>
      <c r="L32" s="28" t="str" cm="1">
        <f t="array" ref="L32">IF(InvDump[[#This Row],[Company]]&lt;&gt;"",_xlfn.XLOOKUP(InvDump[[#This Row],[Company]]&amp;InvDump[[#This Row],[Location]],CustomerData!B:B&amp;CustomerData!C:C,CustomerData!E:E,"Email Not Maintained"),"")</f>
        <v/>
      </c>
      <c r="M32" s="18" t="str">
        <f>IF(InvDump[[#This Row],[InvoiceNo]]&lt;&gt;"",CustomerData!$G$2,"")</f>
        <v/>
      </c>
      <c r="N32" s="19" t="str">
        <f>IF(InvDump[[#This Row],[InvoiceNo]]&lt;&gt;"",CustomerData!$H$2,"")</f>
        <v/>
      </c>
      <c r="O32" s="28" t="str" cm="1">
        <f t="array" ref="O32">IF(InvDump[[#This Row],[Company]]&lt;&gt;"",_xlfn.XLOOKUP(InvDump[[#This Row],[Company]]&amp;InvDump[[#This Row],[Location]],CustomerData!B:B&amp;CustomerData!C:C,CustomerData!F:F,"Email Not Maintained"),"")</f>
        <v/>
      </c>
      <c r="P32" s="26" t="str">
        <f>IF(InvDump[[#This Row],[InvAmount]]&lt;&gt;"",InvDump[[#This Row],[InvAmount]]*9%,"")</f>
        <v/>
      </c>
      <c r="Q32" s="26" t="str">
        <f>InvDump[[#This Row],[GST1]]</f>
        <v/>
      </c>
      <c r="R32" s="29" t="str">
        <f>IF(InvDump[[#This Row],[InvAmount]]&lt;&gt;"",SUM(InvDump[[#This Row],[InvAmount]:[GST2]]),"")</f>
        <v/>
      </c>
      <c r="S3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2" s="25" t="str" cm="1">
        <f t="array" ref="T32">IFERROR(FindFilePath(InvDump[[#This Row],[Invoice File Name]]&amp;".pdf",ControlPanel!$C$14), "")</f>
        <v/>
      </c>
      <c r="U3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2" s="25" t="str" cm="1">
        <f t="array" ref="V32">IFERROR(FindFilePath(InvDump[[#This Row],[Annexure File Name]]&amp;".pdf",ControlPanel!$C$14), "")</f>
        <v/>
      </c>
    </row>
    <row r="33" spans="1:22" x14ac:dyDescent="0.3">
      <c r="A33" s="41"/>
      <c r="B33" s="43"/>
      <c r="C33" s="44"/>
      <c r="D33" s="41"/>
      <c r="E33" s="41"/>
      <c r="F33" s="46"/>
      <c r="G33" s="47"/>
      <c r="H33" s="47"/>
      <c r="I33" s="41"/>
      <c r="J33" s="41"/>
      <c r="K33" s="18" t="str">
        <f>IF(InvDump[[#This Row],[InvoiceNo]]&lt;&gt;"","Sir/Ma'am","")</f>
        <v/>
      </c>
      <c r="L33" s="28" t="str" cm="1">
        <f t="array" ref="L33">IF(InvDump[[#This Row],[Company]]&lt;&gt;"",_xlfn.XLOOKUP(InvDump[[#This Row],[Company]]&amp;InvDump[[#This Row],[Location]],CustomerData!B:B&amp;CustomerData!C:C,CustomerData!E:E,"Email Not Maintained"),"")</f>
        <v/>
      </c>
      <c r="M33" s="18" t="str">
        <f>IF(InvDump[[#This Row],[InvoiceNo]]&lt;&gt;"",CustomerData!$G$2,"")</f>
        <v/>
      </c>
      <c r="N33" s="19" t="str">
        <f>IF(InvDump[[#This Row],[InvoiceNo]]&lt;&gt;"",CustomerData!$H$2,"")</f>
        <v/>
      </c>
      <c r="O33" s="28" t="str" cm="1">
        <f t="array" ref="O33">IF(InvDump[[#This Row],[Company]]&lt;&gt;"",_xlfn.XLOOKUP(InvDump[[#This Row],[Company]]&amp;InvDump[[#This Row],[Location]],CustomerData!B:B&amp;CustomerData!C:C,CustomerData!F:F,"Email Not Maintained"),"")</f>
        <v/>
      </c>
      <c r="P33" s="26" t="str">
        <f>IF(InvDump[[#This Row],[InvAmount]]&lt;&gt;"",InvDump[[#This Row],[InvAmount]]*9%,"")</f>
        <v/>
      </c>
      <c r="Q33" s="26" t="str">
        <f>InvDump[[#This Row],[GST1]]</f>
        <v/>
      </c>
      <c r="R33" s="29" t="str">
        <f>IF(InvDump[[#This Row],[InvAmount]]&lt;&gt;"",SUM(InvDump[[#This Row],[InvAmount]:[GST2]]),"")</f>
        <v/>
      </c>
      <c r="S3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3" s="25" t="str" cm="1">
        <f t="array" ref="T33">IFERROR(FindFilePath(InvDump[[#This Row],[Invoice File Name]]&amp;".pdf",ControlPanel!$C$14), "")</f>
        <v/>
      </c>
      <c r="U3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3" s="25" t="str" cm="1">
        <f t="array" ref="V33">IFERROR(FindFilePath(InvDump[[#This Row],[Annexure File Name]]&amp;".pdf",ControlPanel!$C$14), "")</f>
        <v/>
      </c>
    </row>
    <row r="34" spans="1:22" x14ac:dyDescent="0.3">
      <c r="A34" s="41"/>
      <c r="B34" s="43"/>
      <c r="C34" s="44"/>
      <c r="D34" s="41"/>
      <c r="E34" s="41"/>
      <c r="F34" s="46"/>
      <c r="G34" s="47"/>
      <c r="H34" s="47"/>
      <c r="I34" s="41"/>
      <c r="J34" s="41"/>
      <c r="K34" s="18" t="str">
        <f>IF(InvDump[[#This Row],[InvoiceNo]]&lt;&gt;"","Sir/Ma'am","")</f>
        <v/>
      </c>
      <c r="L34" s="28" t="str" cm="1">
        <f t="array" ref="L34">IF(InvDump[[#This Row],[Company]]&lt;&gt;"",_xlfn.XLOOKUP(InvDump[[#This Row],[Company]]&amp;InvDump[[#This Row],[Location]],CustomerData!B:B&amp;CustomerData!C:C,CustomerData!E:E,"Email Not Maintained"),"")</f>
        <v/>
      </c>
      <c r="M34" s="18" t="str">
        <f>IF(InvDump[[#This Row],[InvoiceNo]]&lt;&gt;"",CustomerData!$G$2,"")</f>
        <v/>
      </c>
      <c r="N34" s="19" t="str">
        <f>IF(InvDump[[#This Row],[InvoiceNo]]&lt;&gt;"",CustomerData!$H$2,"")</f>
        <v/>
      </c>
      <c r="O34" s="28" t="str" cm="1">
        <f t="array" ref="O34">IF(InvDump[[#This Row],[Company]]&lt;&gt;"",_xlfn.XLOOKUP(InvDump[[#This Row],[Company]]&amp;InvDump[[#This Row],[Location]],CustomerData!B:B&amp;CustomerData!C:C,CustomerData!F:F,"Email Not Maintained"),"")</f>
        <v/>
      </c>
      <c r="P34" s="26" t="str">
        <f>IF(InvDump[[#This Row],[InvAmount]]&lt;&gt;"",InvDump[[#This Row],[InvAmount]]*9%,"")</f>
        <v/>
      </c>
      <c r="Q34" s="26" t="str">
        <f>InvDump[[#This Row],[GST1]]</f>
        <v/>
      </c>
      <c r="R34" s="29" t="str">
        <f>IF(InvDump[[#This Row],[InvAmount]]&lt;&gt;"",SUM(InvDump[[#This Row],[InvAmount]:[GST2]]),"")</f>
        <v/>
      </c>
      <c r="S3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4" s="25" t="str" cm="1">
        <f t="array" ref="T34">IFERROR(FindFilePath(InvDump[[#This Row],[Invoice File Name]]&amp;".pdf",ControlPanel!$C$14), "")</f>
        <v/>
      </c>
      <c r="U3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4" s="25" t="str" cm="1">
        <f t="array" ref="V34">IFERROR(FindFilePath(InvDump[[#This Row],[Annexure File Name]]&amp;".pdf",ControlPanel!$C$14), "")</f>
        <v/>
      </c>
    </row>
    <row r="35" spans="1:22" x14ac:dyDescent="0.3">
      <c r="A35" s="41"/>
      <c r="B35" s="43"/>
      <c r="C35" s="44"/>
      <c r="D35" s="41"/>
      <c r="E35" s="41"/>
      <c r="F35" s="46"/>
      <c r="G35" s="47"/>
      <c r="H35" s="47"/>
      <c r="I35" s="41"/>
      <c r="J35" s="41"/>
      <c r="K35" s="18" t="str">
        <f>IF(InvDump[[#This Row],[InvoiceNo]]&lt;&gt;"","Sir/Ma'am","")</f>
        <v/>
      </c>
      <c r="L35" s="28" t="str" cm="1">
        <f t="array" ref="L35">IF(InvDump[[#This Row],[Company]]&lt;&gt;"",_xlfn.XLOOKUP(InvDump[[#This Row],[Company]]&amp;InvDump[[#This Row],[Location]],CustomerData!B:B&amp;CustomerData!C:C,CustomerData!E:E,"Email Not Maintained"),"")</f>
        <v/>
      </c>
      <c r="M35" s="18" t="str">
        <f>IF(InvDump[[#This Row],[InvoiceNo]]&lt;&gt;"",CustomerData!$G$2,"")</f>
        <v/>
      </c>
      <c r="N35" s="19" t="str">
        <f>IF(InvDump[[#This Row],[InvoiceNo]]&lt;&gt;"",CustomerData!$H$2,"")</f>
        <v/>
      </c>
      <c r="O35" s="28" t="str" cm="1">
        <f t="array" ref="O35">IF(InvDump[[#This Row],[Company]]&lt;&gt;"",_xlfn.XLOOKUP(InvDump[[#This Row],[Company]]&amp;InvDump[[#This Row],[Location]],CustomerData!B:B&amp;CustomerData!C:C,CustomerData!F:F,"Email Not Maintained"),"")</f>
        <v/>
      </c>
      <c r="P35" s="26" t="str">
        <f>IF(InvDump[[#This Row],[InvAmount]]&lt;&gt;"",InvDump[[#This Row],[InvAmount]]*9%,"")</f>
        <v/>
      </c>
      <c r="Q35" s="26" t="str">
        <f>InvDump[[#This Row],[GST1]]</f>
        <v/>
      </c>
      <c r="R35" s="29" t="str">
        <f>IF(InvDump[[#This Row],[InvAmount]]&lt;&gt;"",SUM(InvDump[[#This Row],[InvAmount]:[GST2]]),"")</f>
        <v/>
      </c>
      <c r="S3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5" s="25" t="str" cm="1">
        <f t="array" ref="T35">IFERROR(FindFilePath(InvDump[[#This Row],[Invoice File Name]]&amp;".pdf",ControlPanel!$C$14), "")</f>
        <v/>
      </c>
      <c r="U3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5" s="25" t="str" cm="1">
        <f t="array" ref="V35">IFERROR(FindFilePath(InvDump[[#This Row],[Annexure File Name]]&amp;".pdf",ControlPanel!$C$14), "")</f>
        <v/>
      </c>
    </row>
    <row r="36" spans="1:22" x14ac:dyDescent="0.3">
      <c r="A36" s="41"/>
      <c r="B36" s="43"/>
      <c r="C36" s="44"/>
      <c r="D36" s="41"/>
      <c r="E36" s="41"/>
      <c r="F36" s="46"/>
      <c r="G36" s="47"/>
      <c r="H36" s="47"/>
      <c r="I36" s="41"/>
      <c r="J36" s="41"/>
      <c r="K36" s="18" t="str">
        <f>IF(InvDump[[#This Row],[InvoiceNo]]&lt;&gt;"","Sir/Ma'am","")</f>
        <v/>
      </c>
      <c r="L36" s="28" t="str" cm="1">
        <f t="array" ref="L36">IF(InvDump[[#This Row],[Company]]&lt;&gt;"",_xlfn.XLOOKUP(InvDump[[#This Row],[Company]]&amp;InvDump[[#This Row],[Location]],CustomerData!B:B&amp;CustomerData!C:C,CustomerData!E:E,"Email Not Maintained"),"")</f>
        <v/>
      </c>
      <c r="M36" s="18" t="str">
        <f>IF(InvDump[[#This Row],[InvoiceNo]]&lt;&gt;"",CustomerData!$G$2,"")</f>
        <v/>
      </c>
      <c r="N36" s="19" t="str">
        <f>IF(InvDump[[#This Row],[InvoiceNo]]&lt;&gt;"",CustomerData!$H$2,"")</f>
        <v/>
      </c>
      <c r="O36" s="28" t="str" cm="1">
        <f t="array" ref="O36">IF(InvDump[[#This Row],[Company]]&lt;&gt;"",_xlfn.XLOOKUP(InvDump[[#This Row],[Company]]&amp;InvDump[[#This Row],[Location]],CustomerData!B:B&amp;CustomerData!C:C,CustomerData!F:F,"Email Not Maintained"),"")</f>
        <v/>
      </c>
      <c r="P36" s="26" t="str">
        <f>IF(InvDump[[#This Row],[InvAmount]]&lt;&gt;"",InvDump[[#This Row],[InvAmount]]*9%,"")</f>
        <v/>
      </c>
      <c r="Q36" s="26" t="str">
        <f>InvDump[[#This Row],[GST1]]</f>
        <v/>
      </c>
      <c r="R36" s="29" t="str">
        <f>IF(InvDump[[#This Row],[InvAmount]]&lt;&gt;"",SUM(InvDump[[#This Row],[InvAmount]:[GST2]]),"")</f>
        <v/>
      </c>
      <c r="S3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6" s="25" t="str" cm="1">
        <f t="array" ref="T36">IFERROR(FindFilePath(InvDump[[#This Row],[Invoice File Name]]&amp;".pdf",ControlPanel!$C$14), "")</f>
        <v/>
      </c>
      <c r="U3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6" s="25" t="str" cm="1">
        <f t="array" ref="V36">IFERROR(FindFilePath(InvDump[[#This Row],[Annexure File Name]]&amp;".pdf",ControlPanel!$C$14), "")</f>
        <v/>
      </c>
    </row>
    <row r="37" spans="1:22" x14ac:dyDescent="0.3">
      <c r="A37" s="41"/>
      <c r="B37" s="43"/>
      <c r="C37" s="44"/>
      <c r="D37" s="41"/>
      <c r="E37" s="41"/>
      <c r="F37" s="46"/>
      <c r="G37" s="47"/>
      <c r="H37" s="47"/>
      <c r="I37" s="41"/>
      <c r="J37" s="41"/>
      <c r="K37" s="18" t="str">
        <f>IF(InvDump[[#This Row],[InvoiceNo]]&lt;&gt;"","Sir/Ma'am","")</f>
        <v/>
      </c>
      <c r="L37" s="28" t="str" cm="1">
        <f t="array" ref="L37">IF(InvDump[[#This Row],[Company]]&lt;&gt;"",_xlfn.XLOOKUP(InvDump[[#This Row],[Company]]&amp;InvDump[[#This Row],[Location]],CustomerData!B:B&amp;CustomerData!C:C,CustomerData!E:E,"Email Not Maintained"),"")</f>
        <v/>
      </c>
      <c r="M37" s="18" t="str">
        <f>IF(InvDump[[#This Row],[InvoiceNo]]&lt;&gt;"",CustomerData!$G$2,"")</f>
        <v/>
      </c>
      <c r="N37" s="19" t="str">
        <f>IF(InvDump[[#This Row],[InvoiceNo]]&lt;&gt;"",CustomerData!$H$2,"")</f>
        <v/>
      </c>
      <c r="O37" s="28" t="str" cm="1">
        <f t="array" ref="O37">IF(InvDump[[#This Row],[Company]]&lt;&gt;"",_xlfn.XLOOKUP(InvDump[[#This Row],[Company]]&amp;InvDump[[#This Row],[Location]],CustomerData!B:B&amp;CustomerData!C:C,CustomerData!F:F,"Email Not Maintained"),"")</f>
        <v/>
      </c>
      <c r="P37" s="26" t="str">
        <f>IF(InvDump[[#This Row],[InvAmount]]&lt;&gt;"",InvDump[[#This Row],[InvAmount]]*9%,"")</f>
        <v/>
      </c>
      <c r="Q37" s="26" t="str">
        <f>InvDump[[#This Row],[GST1]]</f>
        <v/>
      </c>
      <c r="R37" s="29" t="str">
        <f>IF(InvDump[[#This Row],[InvAmount]]&lt;&gt;"",SUM(InvDump[[#This Row],[InvAmount]:[GST2]]),"")</f>
        <v/>
      </c>
      <c r="S3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7" s="25" t="str" cm="1">
        <f t="array" ref="T37">IFERROR(FindFilePath(InvDump[[#This Row],[Invoice File Name]]&amp;".pdf",ControlPanel!$C$14), "")</f>
        <v/>
      </c>
      <c r="U3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7" s="25" t="str" cm="1">
        <f t="array" ref="V37">IFERROR(FindFilePath(InvDump[[#This Row],[Annexure File Name]]&amp;".pdf",ControlPanel!$C$14), "")</f>
        <v/>
      </c>
    </row>
    <row r="38" spans="1:22" x14ac:dyDescent="0.3">
      <c r="A38" s="41"/>
      <c r="B38" s="43"/>
      <c r="C38" s="44"/>
      <c r="D38" s="41"/>
      <c r="E38" s="41"/>
      <c r="F38" s="46"/>
      <c r="G38" s="47"/>
      <c r="H38" s="47"/>
      <c r="I38" s="41"/>
      <c r="J38" s="41"/>
      <c r="K38" s="18" t="str">
        <f>IF(InvDump[[#This Row],[InvoiceNo]]&lt;&gt;"","Sir/Ma'am","")</f>
        <v/>
      </c>
      <c r="L38" s="28" t="str" cm="1">
        <f t="array" ref="L38">IF(InvDump[[#This Row],[Company]]&lt;&gt;"",_xlfn.XLOOKUP(InvDump[[#This Row],[Company]]&amp;InvDump[[#This Row],[Location]],CustomerData!B:B&amp;CustomerData!C:C,CustomerData!E:E,"Email Not Maintained"),"")</f>
        <v/>
      </c>
      <c r="M38" s="18" t="str">
        <f>IF(InvDump[[#This Row],[InvoiceNo]]&lt;&gt;"",CustomerData!$G$2,"")</f>
        <v/>
      </c>
      <c r="N38" s="19" t="str">
        <f>IF(InvDump[[#This Row],[InvoiceNo]]&lt;&gt;"",CustomerData!$H$2,"")</f>
        <v/>
      </c>
      <c r="O38" s="28" t="str" cm="1">
        <f t="array" ref="O38">IF(InvDump[[#This Row],[Company]]&lt;&gt;"",_xlfn.XLOOKUP(InvDump[[#This Row],[Company]]&amp;InvDump[[#This Row],[Location]],CustomerData!B:B&amp;CustomerData!C:C,CustomerData!F:F,"Email Not Maintained"),"")</f>
        <v/>
      </c>
      <c r="P38" s="26" t="str">
        <f>IF(InvDump[[#This Row],[InvAmount]]&lt;&gt;"",InvDump[[#This Row],[InvAmount]]*9%,"")</f>
        <v/>
      </c>
      <c r="Q38" s="26" t="str">
        <f>InvDump[[#This Row],[GST1]]</f>
        <v/>
      </c>
      <c r="R38" s="29" t="str">
        <f>IF(InvDump[[#This Row],[InvAmount]]&lt;&gt;"",SUM(InvDump[[#This Row],[InvAmount]:[GST2]]),"")</f>
        <v/>
      </c>
      <c r="S3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8" s="25" t="str" cm="1">
        <f t="array" ref="T38">IFERROR(FindFilePath(InvDump[[#This Row],[Invoice File Name]]&amp;".pdf",ControlPanel!$C$14), "")</f>
        <v/>
      </c>
      <c r="U3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8" s="25" t="str" cm="1">
        <f t="array" ref="V38">IFERROR(FindFilePath(InvDump[[#This Row],[Annexure File Name]]&amp;".pdf",ControlPanel!$C$14), "")</f>
        <v/>
      </c>
    </row>
    <row r="39" spans="1:22" x14ac:dyDescent="0.3">
      <c r="A39" s="41"/>
      <c r="B39" s="43"/>
      <c r="C39" s="44"/>
      <c r="D39" s="41"/>
      <c r="E39" s="41"/>
      <c r="F39" s="46"/>
      <c r="G39" s="47"/>
      <c r="H39" s="47"/>
      <c r="I39" s="41"/>
      <c r="J39" s="41"/>
      <c r="K39" s="18" t="str">
        <f>IF(InvDump[[#This Row],[InvoiceNo]]&lt;&gt;"","Sir/Ma'am","")</f>
        <v/>
      </c>
      <c r="L39" s="28" t="str" cm="1">
        <f t="array" ref="L39">IF(InvDump[[#This Row],[Company]]&lt;&gt;"",_xlfn.XLOOKUP(InvDump[[#This Row],[Company]]&amp;InvDump[[#This Row],[Location]],CustomerData!B:B&amp;CustomerData!C:C,CustomerData!E:E,"Email Not Maintained"),"")</f>
        <v/>
      </c>
      <c r="M39" s="18" t="str">
        <f>IF(InvDump[[#This Row],[InvoiceNo]]&lt;&gt;"",CustomerData!$G$2,"")</f>
        <v/>
      </c>
      <c r="N39" s="19" t="str">
        <f>IF(InvDump[[#This Row],[InvoiceNo]]&lt;&gt;"",CustomerData!$H$2,"")</f>
        <v/>
      </c>
      <c r="O39" s="28" t="str" cm="1">
        <f t="array" ref="O39">IF(InvDump[[#This Row],[Company]]&lt;&gt;"",_xlfn.XLOOKUP(InvDump[[#This Row],[Company]]&amp;InvDump[[#This Row],[Location]],CustomerData!B:B&amp;CustomerData!C:C,CustomerData!F:F,"Email Not Maintained"),"")</f>
        <v/>
      </c>
      <c r="P39" s="26" t="str">
        <f>IF(InvDump[[#This Row],[InvAmount]]&lt;&gt;"",InvDump[[#This Row],[InvAmount]]*9%,"")</f>
        <v/>
      </c>
      <c r="Q39" s="26" t="str">
        <f>InvDump[[#This Row],[GST1]]</f>
        <v/>
      </c>
      <c r="R39" s="29" t="str">
        <f>IF(InvDump[[#This Row],[InvAmount]]&lt;&gt;"",SUM(InvDump[[#This Row],[InvAmount]:[GST2]]),"")</f>
        <v/>
      </c>
      <c r="S3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39" s="25" t="str" cm="1">
        <f t="array" ref="T39">IFERROR(FindFilePath(InvDump[[#This Row],[Invoice File Name]]&amp;".pdf",ControlPanel!$C$14), "")</f>
        <v/>
      </c>
      <c r="U3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39" s="25" t="str" cm="1">
        <f t="array" ref="V39">IFERROR(FindFilePath(InvDump[[#This Row],[Annexure File Name]]&amp;".pdf",ControlPanel!$C$14), "")</f>
        <v/>
      </c>
    </row>
    <row r="40" spans="1:22" x14ac:dyDescent="0.3">
      <c r="A40" s="41"/>
      <c r="B40" s="43"/>
      <c r="C40" s="44"/>
      <c r="D40" s="41"/>
      <c r="E40" s="41"/>
      <c r="F40" s="46"/>
      <c r="G40" s="47"/>
      <c r="H40" s="47"/>
      <c r="I40" s="41"/>
      <c r="J40" s="41"/>
      <c r="K40" s="18" t="str">
        <f>IF(InvDump[[#This Row],[InvoiceNo]]&lt;&gt;"","Sir/Ma'am","")</f>
        <v/>
      </c>
      <c r="L40" s="28" t="str" cm="1">
        <f t="array" ref="L40">IF(InvDump[[#This Row],[Company]]&lt;&gt;"",_xlfn.XLOOKUP(InvDump[[#This Row],[Company]]&amp;InvDump[[#This Row],[Location]],CustomerData!B:B&amp;CustomerData!C:C,CustomerData!E:E,"Email Not Maintained"),"")</f>
        <v/>
      </c>
      <c r="M40" s="18" t="str">
        <f>IF(InvDump[[#This Row],[InvoiceNo]]&lt;&gt;"",CustomerData!$G$2,"")</f>
        <v/>
      </c>
      <c r="N40" s="19" t="str">
        <f>IF(InvDump[[#This Row],[InvoiceNo]]&lt;&gt;"",CustomerData!$H$2,"")</f>
        <v/>
      </c>
      <c r="O40" s="28" t="str" cm="1">
        <f t="array" ref="O40">IF(InvDump[[#This Row],[Company]]&lt;&gt;"",_xlfn.XLOOKUP(InvDump[[#This Row],[Company]]&amp;InvDump[[#This Row],[Location]],CustomerData!B:B&amp;CustomerData!C:C,CustomerData!F:F,"Email Not Maintained"),"")</f>
        <v/>
      </c>
      <c r="P40" s="26" t="str">
        <f>IF(InvDump[[#This Row],[InvAmount]]&lt;&gt;"",InvDump[[#This Row],[InvAmount]]*9%,"")</f>
        <v/>
      </c>
      <c r="Q40" s="26" t="str">
        <f>InvDump[[#This Row],[GST1]]</f>
        <v/>
      </c>
      <c r="R40" s="29" t="str">
        <f>IF(InvDump[[#This Row],[InvAmount]]&lt;&gt;"",SUM(InvDump[[#This Row],[InvAmount]:[GST2]]),"")</f>
        <v/>
      </c>
      <c r="S4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0" s="25" t="str" cm="1">
        <f t="array" ref="T40">IFERROR(FindFilePath(InvDump[[#This Row],[Invoice File Name]]&amp;".pdf",ControlPanel!$C$14), "")</f>
        <v/>
      </c>
      <c r="U4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0" s="25" t="str" cm="1">
        <f t="array" ref="V40">IFERROR(FindFilePath(InvDump[[#This Row],[Annexure File Name]]&amp;".pdf",ControlPanel!$C$14), "")</f>
        <v/>
      </c>
    </row>
    <row r="41" spans="1:22" x14ac:dyDescent="0.3">
      <c r="A41" s="41"/>
      <c r="B41" s="43"/>
      <c r="C41" s="44"/>
      <c r="D41" s="41"/>
      <c r="E41" s="41"/>
      <c r="F41" s="46"/>
      <c r="G41" s="47"/>
      <c r="H41" s="47"/>
      <c r="I41" s="41"/>
      <c r="J41" s="41"/>
      <c r="K41" s="18" t="str">
        <f>IF(InvDump[[#This Row],[InvoiceNo]]&lt;&gt;"","Sir/Ma'am","")</f>
        <v/>
      </c>
      <c r="L41" s="28" t="str" cm="1">
        <f t="array" ref="L41">IF(InvDump[[#This Row],[Company]]&lt;&gt;"",_xlfn.XLOOKUP(InvDump[[#This Row],[Company]]&amp;InvDump[[#This Row],[Location]],CustomerData!B:B&amp;CustomerData!C:C,CustomerData!E:E,"Email Not Maintained"),"")</f>
        <v/>
      </c>
      <c r="M41" s="18" t="str">
        <f>IF(InvDump[[#This Row],[InvoiceNo]]&lt;&gt;"",CustomerData!$G$2,"")</f>
        <v/>
      </c>
      <c r="N41" s="19" t="str">
        <f>IF(InvDump[[#This Row],[InvoiceNo]]&lt;&gt;"",CustomerData!$H$2,"")</f>
        <v/>
      </c>
      <c r="O41" s="28" t="str" cm="1">
        <f t="array" ref="O41">IF(InvDump[[#This Row],[Company]]&lt;&gt;"",_xlfn.XLOOKUP(InvDump[[#This Row],[Company]]&amp;InvDump[[#This Row],[Location]],CustomerData!B:B&amp;CustomerData!C:C,CustomerData!F:F,"Email Not Maintained"),"")</f>
        <v/>
      </c>
      <c r="P41" s="26" t="str">
        <f>IF(InvDump[[#This Row],[InvAmount]]&lt;&gt;"",InvDump[[#This Row],[InvAmount]]*9%,"")</f>
        <v/>
      </c>
      <c r="Q41" s="26" t="str">
        <f>InvDump[[#This Row],[GST1]]</f>
        <v/>
      </c>
      <c r="R41" s="29" t="str">
        <f>IF(InvDump[[#This Row],[InvAmount]]&lt;&gt;"",SUM(InvDump[[#This Row],[InvAmount]:[GST2]]),"")</f>
        <v/>
      </c>
      <c r="S4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1" s="25" t="str" cm="1">
        <f t="array" ref="T41">IFERROR(FindFilePath(InvDump[[#This Row],[Invoice File Name]]&amp;".pdf",ControlPanel!$C$14), "")</f>
        <v/>
      </c>
      <c r="U4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1" s="25" t="str" cm="1">
        <f t="array" ref="V41">IFERROR(FindFilePath(InvDump[[#This Row],[Annexure File Name]]&amp;".pdf",ControlPanel!$C$14), "")</f>
        <v/>
      </c>
    </row>
    <row r="42" spans="1:22" x14ac:dyDescent="0.3">
      <c r="A42" s="41"/>
      <c r="B42" s="43"/>
      <c r="C42" s="44"/>
      <c r="D42" s="41"/>
      <c r="E42" s="41"/>
      <c r="F42" s="46"/>
      <c r="G42" s="47"/>
      <c r="H42" s="47"/>
      <c r="I42" s="41"/>
      <c r="J42" s="41"/>
      <c r="K42" s="18" t="str">
        <f>IF(InvDump[[#This Row],[InvoiceNo]]&lt;&gt;"","Sir/Ma'am","")</f>
        <v/>
      </c>
      <c r="L42" s="28" t="str" cm="1">
        <f t="array" ref="L42">IF(InvDump[[#This Row],[Company]]&lt;&gt;"",_xlfn.XLOOKUP(InvDump[[#This Row],[Company]]&amp;InvDump[[#This Row],[Location]],CustomerData!B:B&amp;CustomerData!C:C,CustomerData!E:E,"Email Not Maintained"),"")</f>
        <v/>
      </c>
      <c r="M42" s="18" t="str">
        <f>IF(InvDump[[#This Row],[InvoiceNo]]&lt;&gt;"",CustomerData!$G$2,"")</f>
        <v/>
      </c>
      <c r="N42" s="19" t="str">
        <f>IF(InvDump[[#This Row],[InvoiceNo]]&lt;&gt;"",CustomerData!$H$2,"")</f>
        <v/>
      </c>
      <c r="O42" s="28" t="str" cm="1">
        <f t="array" ref="O42">IF(InvDump[[#This Row],[Company]]&lt;&gt;"",_xlfn.XLOOKUP(InvDump[[#This Row],[Company]]&amp;InvDump[[#This Row],[Location]],CustomerData!B:B&amp;CustomerData!C:C,CustomerData!F:F,"Email Not Maintained"),"")</f>
        <v/>
      </c>
      <c r="P42" s="26" t="str">
        <f>IF(InvDump[[#This Row],[InvAmount]]&lt;&gt;"",InvDump[[#This Row],[InvAmount]]*9%,"")</f>
        <v/>
      </c>
      <c r="Q42" s="26" t="str">
        <f>InvDump[[#This Row],[GST1]]</f>
        <v/>
      </c>
      <c r="R42" s="29" t="str">
        <f>IF(InvDump[[#This Row],[InvAmount]]&lt;&gt;"",SUM(InvDump[[#This Row],[InvAmount]:[GST2]]),"")</f>
        <v/>
      </c>
      <c r="S4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2" s="25" t="str" cm="1">
        <f t="array" ref="T42">IFERROR(FindFilePath(InvDump[[#This Row],[Invoice File Name]]&amp;".pdf",ControlPanel!$C$14), "")</f>
        <v/>
      </c>
      <c r="U4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2" s="25" t="str" cm="1">
        <f t="array" ref="V42">IFERROR(FindFilePath(InvDump[[#This Row],[Annexure File Name]]&amp;".pdf",ControlPanel!$C$14), "")</f>
        <v/>
      </c>
    </row>
    <row r="43" spans="1:22" x14ac:dyDescent="0.3">
      <c r="A43" s="41"/>
      <c r="B43" s="43"/>
      <c r="C43" s="44"/>
      <c r="D43" s="41"/>
      <c r="E43" s="41"/>
      <c r="F43" s="46"/>
      <c r="G43" s="47"/>
      <c r="H43" s="47"/>
      <c r="I43" s="41"/>
      <c r="J43" s="41"/>
      <c r="K43" s="18" t="str">
        <f>IF(InvDump[[#This Row],[InvoiceNo]]&lt;&gt;"","Sir/Ma'am","")</f>
        <v/>
      </c>
      <c r="L43" s="28" t="str" cm="1">
        <f t="array" ref="L43">IF(InvDump[[#This Row],[Company]]&lt;&gt;"",_xlfn.XLOOKUP(InvDump[[#This Row],[Company]]&amp;InvDump[[#This Row],[Location]],CustomerData!B:B&amp;CustomerData!C:C,CustomerData!E:E,"Email Not Maintained"),"")</f>
        <v/>
      </c>
      <c r="M43" s="18" t="str">
        <f>IF(InvDump[[#This Row],[InvoiceNo]]&lt;&gt;"",CustomerData!$G$2,"")</f>
        <v/>
      </c>
      <c r="N43" s="19" t="str">
        <f>IF(InvDump[[#This Row],[InvoiceNo]]&lt;&gt;"",CustomerData!$H$2,"")</f>
        <v/>
      </c>
      <c r="O43" s="28" t="str" cm="1">
        <f t="array" ref="O43">IF(InvDump[[#This Row],[Company]]&lt;&gt;"",_xlfn.XLOOKUP(InvDump[[#This Row],[Company]]&amp;InvDump[[#This Row],[Location]],CustomerData!B:B&amp;CustomerData!C:C,CustomerData!F:F,"Email Not Maintained"),"")</f>
        <v/>
      </c>
      <c r="P43" s="26" t="str">
        <f>IF(InvDump[[#This Row],[InvAmount]]&lt;&gt;"",InvDump[[#This Row],[InvAmount]]*9%,"")</f>
        <v/>
      </c>
      <c r="Q43" s="26" t="str">
        <f>InvDump[[#This Row],[GST1]]</f>
        <v/>
      </c>
      <c r="R43" s="29" t="str">
        <f>IF(InvDump[[#This Row],[InvAmount]]&lt;&gt;"",SUM(InvDump[[#This Row],[InvAmount]:[GST2]]),"")</f>
        <v/>
      </c>
      <c r="S4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3" s="25" t="str" cm="1">
        <f t="array" ref="T43">IFERROR(FindFilePath(InvDump[[#This Row],[Invoice File Name]]&amp;".pdf",ControlPanel!$C$14), "")</f>
        <v/>
      </c>
      <c r="U4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3" s="25" t="str" cm="1">
        <f t="array" ref="V43">IFERROR(FindFilePath(InvDump[[#This Row],[Annexure File Name]]&amp;".pdf",ControlPanel!$C$14), "")</f>
        <v/>
      </c>
    </row>
    <row r="44" spans="1:22" x14ac:dyDescent="0.3">
      <c r="A44" s="41"/>
      <c r="B44" s="43"/>
      <c r="C44" s="44"/>
      <c r="D44" s="41"/>
      <c r="E44" s="41"/>
      <c r="F44" s="46"/>
      <c r="G44" s="47"/>
      <c r="H44" s="47"/>
      <c r="I44" s="41"/>
      <c r="J44" s="41"/>
      <c r="K44" s="18" t="str">
        <f>IF(InvDump[[#This Row],[InvoiceNo]]&lt;&gt;"","Sir/Ma'am","")</f>
        <v/>
      </c>
      <c r="L44" s="28" t="str" cm="1">
        <f t="array" ref="L44">IF(InvDump[[#This Row],[Company]]&lt;&gt;"",_xlfn.XLOOKUP(InvDump[[#This Row],[Company]]&amp;InvDump[[#This Row],[Location]],CustomerData!B:B&amp;CustomerData!C:C,CustomerData!E:E,"Email Not Maintained"),"")</f>
        <v/>
      </c>
      <c r="M44" s="18" t="str">
        <f>IF(InvDump[[#This Row],[InvoiceNo]]&lt;&gt;"",CustomerData!$G$2,"")</f>
        <v/>
      </c>
      <c r="N44" s="19" t="str">
        <f>IF(InvDump[[#This Row],[InvoiceNo]]&lt;&gt;"",CustomerData!$H$2,"")</f>
        <v/>
      </c>
      <c r="O44" s="28" t="str" cm="1">
        <f t="array" ref="O44">IF(InvDump[[#This Row],[Company]]&lt;&gt;"",_xlfn.XLOOKUP(InvDump[[#This Row],[Company]]&amp;InvDump[[#This Row],[Location]],CustomerData!B:B&amp;CustomerData!C:C,CustomerData!F:F,"Email Not Maintained"),"")</f>
        <v/>
      </c>
      <c r="P44" s="26" t="str">
        <f>IF(InvDump[[#This Row],[InvAmount]]&lt;&gt;"",InvDump[[#This Row],[InvAmount]]*9%,"")</f>
        <v/>
      </c>
      <c r="Q44" s="26" t="str">
        <f>InvDump[[#This Row],[GST1]]</f>
        <v/>
      </c>
      <c r="R44" s="29" t="str">
        <f>IF(InvDump[[#This Row],[InvAmount]]&lt;&gt;"",SUM(InvDump[[#This Row],[InvAmount]:[GST2]]),"")</f>
        <v/>
      </c>
      <c r="S4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4" s="25" t="str" cm="1">
        <f t="array" ref="T44">IFERROR(FindFilePath(InvDump[[#This Row],[Invoice File Name]]&amp;".pdf",ControlPanel!$C$14), "")</f>
        <v/>
      </c>
      <c r="U4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4" s="25" t="str" cm="1">
        <f t="array" ref="V44">IFERROR(FindFilePath(InvDump[[#This Row],[Annexure File Name]]&amp;".pdf",ControlPanel!$C$14), "")</f>
        <v/>
      </c>
    </row>
    <row r="45" spans="1:22" x14ac:dyDescent="0.3">
      <c r="A45" s="41"/>
      <c r="B45" s="43"/>
      <c r="C45" s="44"/>
      <c r="D45" s="41"/>
      <c r="E45" s="41"/>
      <c r="F45" s="46"/>
      <c r="G45" s="47"/>
      <c r="H45" s="47"/>
      <c r="I45" s="41"/>
      <c r="J45" s="41"/>
      <c r="K45" s="18" t="str">
        <f>IF(InvDump[[#This Row],[InvoiceNo]]&lt;&gt;"","Sir/Ma'am","")</f>
        <v/>
      </c>
      <c r="L45" s="28" t="str" cm="1">
        <f t="array" ref="L45">IF(InvDump[[#This Row],[Company]]&lt;&gt;"",_xlfn.XLOOKUP(InvDump[[#This Row],[Company]]&amp;InvDump[[#This Row],[Location]],CustomerData!B:B&amp;CustomerData!C:C,CustomerData!E:E,"Email Not Maintained"),"")</f>
        <v/>
      </c>
      <c r="M45" s="18" t="str">
        <f>IF(InvDump[[#This Row],[InvoiceNo]]&lt;&gt;"",CustomerData!$G$2,"")</f>
        <v/>
      </c>
      <c r="N45" s="19" t="str">
        <f>IF(InvDump[[#This Row],[InvoiceNo]]&lt;&gt;"",CustomerData!$H$2,"")</f>
        <v/>
      </c>
      <c r="O45" s="28" t="str" cm="1">
        <f t="array" ref="O45">IF(InvDump[[#This Row],[Company]]&lt;&gt;"",_xlfn.XLOOKUP(InvDump[[#This Row],[Company]]&amp;InvDump[[#This Row],[Location]],CustomerData!B:B&amp;CustomerData!C:C,CustomerData!F:F,"Email Not Maintained"),"")</f>
        <v/>
      </c>
      <c r="P45" s="26" t="str">
        <f>IF(InvDump[[#This Row],[InvAmount]]&lt;&gt;"",InvDump[[#This Row],[InvAmount]]*9%,"")</f>
        <v/>
      </c>
      <c r="Q45" s="26" t="str">
        <f>InvDump[[#This Row],[GST1]]</f>
        <v/>
      </c>
      <c r="R45" s="29" t="str">
        <f>IF(InvDump[[#This Row],[InvAmount]]&lt;&gt;"",SUM(InvDump[[#This Row],[InvAmount]:[GST2]]),"")</f>
        <v/>
      </c>
      <c r="S4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5" s="25" t="str" cm="1">
        <f t="array" ref="T45">IFERROR(FindFilePath(InvDump[[#This Row],[Invoice File Name]]&amp;".pdf",ControlPanel!$C$14), "")</f>
        <v/>
      </c>
      <c r="U4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5" s="25" t="str" cm="1">
        <f t="array" ref="V45">IFERROR(FindFilePath(InvDump[[#This Row],[Annexure File Name]]&amp;".pdf",ControlPanel!$C$14), "")</f>
        <v/>
      </c>
    </row>
    <row r="46" spans="1:22" x14ac:dyDescent="0.3">
      <c r="A46" s="41"/>
      <c r="B46" s="43"/>
      <c r="C46" s="44"/>
      <c r="D46" s="41"/>
      <c r="E46" s="41"/>
      <c r="F46" s="46"/>
      <c r="G46" s="47"/>
      <c r="H46" s="47"/>
      <c r="I46" s="41"/>
      <c r="J46" s="41"/>
      <c r="K46" s="18" t="str">
        <f>IF(InvDump[[#This Row],[InvoiceNo]]&lt;&gt;"","Sir/Ma'am","")</f>
        <v/>
      </c>
      <c r="L46" s="28" t="str" cm="1">
        <f t="array" ref="L46">IF(InvDump[[#This Row],[Company]]&lt;&gt;"",_xlfn.XLOOKUP(InvDump[[#This Row],[Company]]&amp;InvDump[[#This Row],[Location]],CustomerData!B:B&amp;CustomerData!C:C,CustomerData!E:E,"Email Not Maintained"),"")</f>
        <v/>
      </c>
      <c r="M46" s="18" t="str">
        <f>IF(InvDump[[#This Row],[InvoiceNo]]&lt;&gt;"",CustomerData!$G$2,"")</f>
        <v/>
      </c>
      <c r="N46" s="19" t="str">
        <f>IF(InvDump[[#This Row],[InvoiceNo]]&lt;&gt;"",CustomerData!$H$2,"")</f>
        <v/>
      </c>
      <c r="O46" s="28" t="str" cm="1">
        <f t="array" ref="O46">IF(InvDump[[#This Row],[Company]]&lt;&gt;"",_xlfn.XLOOKUP(InvDump[[#This Row],[Company]]&amp;InvDump[[#This Row],[Location]],CustomerData!B:B&amp;CustomerData!C:C,CustomerData!F:F,"Email Not Maintained"),"")</f>
        <v/>
      </c>
      <c r="P46" s="26" t="str">
        <f>IF(InvDump[[#This Row],[InvAmount]]&lt;&gt;"",InvDump[[#This Row],[InvAmount]]*9%,"")</f>
        <v/>
      </c>
      <c r="Q46" s="26" t="str">
        <f>InvDump[[#This Row],[GST1]]</f>
        <v/>
      </c>
      <c r="R46" s="29" t="str">
        <f>IF(InvDump[[#This Row],[InvAmount]]&lt;&gt;"",SUM(InvDump[[#This Row],[InvAmount]:[GST2]]),"")</f>
        <v/>
      </c>
      <c r="S4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6" s="25" t="str" cm="1">
        <f t="array" ref="T46">IFERROR(FindFilePath(InvDump[[#This Row],[Invoice File Name]]&amp;".pdf",ControlPanel!$C$14), "")</f>
        <v/>
      </c>
      <c r="U4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6" s="25" t="str" cm="1">
        <f t="array" ref="V46">IFERROR(FindFilePath(InvDump[[#This Row],[Annexure File Name]]&amp;".pdf",ControlPanel!$C$14), "")</f>
        <v/>
      </c>
    </row>
    <row r="47" spans="1:22" x14ac:dyDescent="0.3">
      <c r="A47" s="41"/>
      <c r="B47" s="43"/>
      <c r="C47" s="44"/>
      <c r="D47" s="41"/>
      <c r="E47" s="41"/>
      <c r="F47" s="46"/>
      <c r="G47" s="47"/>
      <c r="H47" s="47"/>
      <c r="I47" s="41"/>
      <c r="J47" s="41"/>
      <c r="K47" s="18" t="str">
        <f>IF(InvDump[[#This Row],[InvoiceNo]]&lt;&gt;"","Sir/Ma'am","")</f>
        <v/>
      </c>
      <c r="L47" s="28" t="str" cm="1">
        <f t="array" ref="L47">IF(InvDump[[#This Row],[Company]]&lt;&gt;"",_xlfn.XLOOKUP(InvDump[[#This Row],[Company]]&amp;InvDump[[#This Row],[Location]],CustomerData!B:B&amp;CustomerData!C:C,CustomerData!E:E,"Email Not Maintained"),"")</f>
        <v/>
      </c>
      <c r="M47" s="18" t="str">
        <f>IF(InvDump[[#This Row],[InvoiceNo]]&lt;&gt;"",CustomerData!$G$2,"")</f>
        <v/>
      </c>
      <c r="N47" s="19" t="str">
        <f>IF(InvDump[[#This Row],[InvoiceNo]]&lt;&gt;"",CustomerData!$H$2,"")</f>
        <v/>
      </c>
      <c r="O47" s="28" t="str" cm="1">
        <f t="array" ref="O47">IF(InvDump[[#This Row],[Company]]&lt;&gt;"",_xlfn.XLOOKUP(InvDump[[#This Row],[Company]]&amp;InvDump[[#This Row],[Location]],CustomerData!B:B&amp;CustomerData!C:C,CustomerData!F:F,"Email Not Maintained"),"")</f>
        <v/>
      </c>
      <c r="P47" s="26" t="str">
        <f>IF(InvDump[[#This Row],[InvAmount]]&lt;&gt;"",InvDump[[#This Row],[InvAmount]]*9%,"")</f>
        <v/>
      </c>
      <c r="Q47" s="26" t="str">
        <f>InvDump[[#This Row],[GST1]]</f>
        <v/>
      </c>
      <c r="R47" s="29" t="str">
        <f>IF(InvDump[[#This Row],[InvAmount]]&lt;&gt;"",SUM(InvDump[[#This Row],[InvAmount]:[GST2]]),"")</f>
        <v/>
      </c>
      <c r="S4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7" s="25" t="str" cm="1">
        <f t="array" ref="T47">IFERROR(FindFilePath(InvDump[[#This Row],[Invoice File Name]]&amp;".pdf",ControlPanel!$C$14), "")</f>
        <v/>
      </c>
      <c r="U4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7" s="25" t="str" cm="1">
        <f t="array" ref="V47">IFERROR(FindFilePath(InvDump[[#This Row],[Annexure File Name]]&amp;".pdf",ControlPanel!$C$14), "")</f>
        <v/>
      </c>
    </row>
    <row r="48" spans="1:22" x14ac:dyDescent="0.3">
      <c r="A48" s="41"/>
      <c r="B48" s="43"/>
      <c r="C48" s="44"/>
      <c r="D48" s="41"/>
      <c r="E48" s="41"/>
      <c r="F48" s="46"/>
      <c r="G48" s="47"/>
      <c r="H48" s="47"/>
      <c r="I48" s="41"/>
      <c r="J48" s="41"/>
      <c r="K48" s="18" t="str">
        <f>IF(InvDump[[#This Row],[InvoiceNo]]&lt;&gt;"","Sir/Ma'am","")</f>
        <v/>
      </c>
      <c r="L48" s="28" t="str" cm="1">
        <f t="array" ref="L48">IF(InvDump[[#This Row],[Company]]&lt;&gt;"",_xlfn.XLOOKUP(InvDump[[#This Row],[Company]]&amp;InvDump[[#This Row],[Location]],CustomerData!B:B&amp;CustomerData!C:C,CustomerData!E:E,"Email Not Maintained"),"")</f>
        <v/>
      </c>
      <c r="M48" s="18" t="str">
        <f>IF(InvDump[[#This Row],[InvoiceNo]]&lt;&gt;"",CustomerData!$G$2,"")</f>
        <v/>
      </c>
      <c r="N48" s="19" t="str">
        <f>IF(InvDump[[#This Row],[InvoiceNo]]&lt;&gt;"",CustomerData!$H$2,"")</f>
        <v/>
      </c>
      <c r="O48" s="28" t="str" cm="1">
        <f t="array" ref="O48">IF(InvDump[[#This Row],[Company]]&lt;&gt;"",_xlfn.XLOOKUP(InvDump[[#This Row],[Company]]&amp;InvDump[[#This Row],[Location]],CustomerData!B:B&amp;CustomerData!C:C,CustomerData!F:F,"Email Not Maintained"),"")</f>
        <v/>
      </c>
      <c r="P48" s="26" t="str">
        <f>IF(InvDump[[#This Row],[InvAmount]]&lt;&gt;"",InvDump[[#This Row],[InvAmount]]*9%,"")</f>
        <v/>
      </c>
      <c r="Q48" s="26" t="str">
        <f>InvDump[[#This Row],[GST1]]</f>
        <v/>
      </c>
      <c r="R48" s="29" t="str">
        <f>IF(InvDump[[#This Row],[InvAmount]]&lt;&gt;"",SUM(InvDump[[#This Row],[InvAmount]:[GST2]]),"")</f>
        <v/>
      </c>
      <c r="S4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8" s="25" t="str" cm="1">
        <f t="array" ref="T48">IFERROR(FindFilePath(InvDump[[#This Row],[Invoice File Name]]&amp;".pdf",ControlPanel!$C$14), "")</f>
        <v/>
      </c>
      <c r="U4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8" s="25" t="str" cm="1">
        <f t="array" ref="V48">IFERROR(FindFilePath(InvDump[[#This Row],[Annexure File Name]]&amp;".pdf",ControlPanel!$C$14), "")</f>
        <v/>
      </c>
    </row>
    <row r="49" spans="1:22" x14ac:dyDescent="0.3">
      <c r="A49" s="41"/>
      <c r="B49" s="43"/>
      <c r="C49" s="44"/>
      <c r="D49" s="41"/>
      <c r="E49" s="41"/>
      <c r="F49" s="46"/>
      <c r="G49" s="47"/>
      <c r="H49" s="47"/>
      <c r="I49" s="41"/>
      <c r="J49" s="41"/>
      <c r="K49" s="18" t="str">
        <f>IF(InvDump[[#This Row],[InvoiceNo]]&lt;&gt;"","Sir/Ma'am","")</f>
        <v/>
      </c>
      <c r="L49" s="28" t="str" cm="1">
        <f t="array" ref="L49">IF(InvDump[[#This Row],[Company]]&lt;&gt;"",_xlfn.XLOOKUP(InvDump[[#This Row],[Company]]&amp;InvDump[[#This Row],[Location]],CustomerData!B:B&amp;CustomerData!C:C,CustomerData!E:E,"Email Not Maintained"),"")</f>
        <v/>
      </c>
      <c r="M49" s="18" t="str">
        <f>IF(InvDump[[#This Row],[InvoiceNo]]&lt;&gt;"",CustomerData!$G$2,"")</f>
        <v/>
      </c>
      <c r="N49" s="19" t="str">
        <f>IF(InvDump[[#This Row],[InvoiceNo]]&lt;&gt;"",CustomerData!$H$2,"")</f>
        <v/>
      </c>
      <c r="O49" s="28" t="str" cm="1">
        <f t="array" ref="O49">IF(InvDump[[#This Row],[Company]]&lt;&gt;"",_xlfn.XLOOKUP(InvDump[[#This Row],[Company]]&amp;InvDump[[#This Row],[Location]],CustomerData!B:B&amp;CustomerData!C:C,CustomerData!F:F,"Email Not Maintained"),"")</f>
        <v/>
      </c>
      <c r="P49" s="26" t="str">
        <f>IF(InvDump[[#This Row],[InvAmount]]&lt;&gt;"",InvDump[[#This Row],[InvAmount]]*9%,"")</f>
        <v/>
      </c>
      <c r="Q49" s="30" t="str">
        <f>InvDump[[#This Row],[GST1]]</f>
        <v/>
      </c>
      <c r="R49" s="29" t="str">
        <f>IF(InvDump[[#This Row],[InvAmount]]&lt;&gt;"",SUM(InvDump[[#This Row],[InvAmount]:[GST2]]),"")</f>
        <v/>
      </c>
      <c r="S4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49" s="25" t="str" cm="1">
        <f t="array" ref="T49">IFERROR(FindFilePath(InvDump[[#This Row],[Invoice File Name]]&amp;".pdf",ControlPanel!$C$14), "")</f>
        <v/>
      </c>
      <c r="U4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49" s="25" t="str" cm="1">
        <f t="array" ref="V49">IFERROR(FindFilePath(InvDump[[#This Row],[Annexure File Name]]&amp;".pdf",ControlPanel!$C$14), "")</f>
        <v/>
      </c>
    </row>
    <row r="50" spans="1:22" x14ac:dyDescent="0.3">
      <c r="A50" s="41"/>
      <c r="B50" s="43"/>
      <c r="C50" s="44"/>
      <c r="D50" s="41"/>
      <c r="E50" s="41"/>
      <c r="F50" s="46"/>
      <c r="G50" s="47"/>
      <c r="H50" s="47"/>
      <c r="I50" s="41"/>
      <c r="J50" s="41"/>
      <c r="K50" s="18" t="str">
        <f>IF(InvDump[[#This Row],[InvoiceNo]]&lt;&gt;"","Sir/Ma'am","")</f>
        <v/>
      </c>
      <c r="L50" s="28" t="str" cm="1">
        <f t="array" ref="L50">IF(InvDump[[#This Row],[Company]]&lt;&gt;"",_xlfn.XLOOKUP(InvDump[[#This Row],[Company]]&amp;InvDump[[#This Row],[Location]],CustomerData!B:B&amp;CustomerData!C:C,CustomerData!E:E,"Email Not Maintained"),"")</f>
        <v/>
      </c>
      <c r="M50" s="18" t="str">
        <f>IF(InvDump[[#This Row],[InvoiceNo]]&lt;&gt;"",CustomerData!$G$2,"")</f>
        <v/>
      </c>
      <c r="N50" s="19" t="str">
        <f>IF(InvDump[[#This Row],[InvoiceNo]]&lt;&gt;"",CustomerData!$H$2,"")</f>
        <v/>
      </c>
      <c r="O50" s="28" t="str" cm="1">
        <f t="array" ref="O50">IF(InvDump[[#This Row],[Company]]&lt;&gt;"",_xlfn.XLOOKUP(InvDump[[#This Row],[Company]]&amp;InvDump[[#This Row],[Location]],CustomerData!B:B&amp;CustomerData!C:C,CustomerData!F:F,"Email Not Maintained"),"")</f>
        <v/>
      </c>
      <c r="P50" s="26" t="str">
        <f>IF(InvDump[[#This Row],[InvAmount]]&lt;&gt;"",InvDump[[#This Row],[InvAmount]]*9%,"")</f>
        <v/>
      </c>
      <c r="Q50" s="30" t="str">
        <f>InvDump[[#This Row],[GST1]]</f>
        <v/>
      </c>
      <c r="R50" s="29" t="str">
        <f>IF(InvDump[[#This Row],[InvAmount]]&lt;&gt;"",SUM(InvDump[[#This Row],[InvAmount]:[GST2]]),"")</f>
        <v/>
      </c>
      <c r="S5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0" s="25" t="str" cm="1">
        <f t="array" ref="T50">IFERROR(FindFilePath(InvDump[[#This Row],[Invoice File Name]]&amp;".pdf",ControlPanel!$C$14), "")</f>
        <v/>
      </c>
      <c r="U5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0" s="25" t="str" cm="1">
        <f t="array" ref="V50">IFERROR(FindFilePath(InvDump[[#This Row],[Annexure File Name]]&amp;".pdf",ControlPanel!$C$14), "")</f>
        <v/>
      </c>
    </row>
    <row r="51" spans="1:22" x14ac:dyDescent="0.3">
      <c r="A51" s="41"/>
      <c r="B51" s="43"/>
      <c r="C51" s="44"/>
      <c r="D51" s="41"/>
      <c r="E51" s="41"/>
      <c r="F51" s="46"/>
      <c r="G51" s="47"/>
      <c r="H51" s="47"/>
      <c r="I51" s="41"/>
      <c r="J51" s="41"/>
      <c r="K51" s="18" t="str">
        <f>IF(InvDump[[#This Row],[InvoiceNo]]&lt;&gt;"","Sir/Ma'am","")</f>
        <v/>
      </c>
      <c r="L51" s="28" t="str" cm="1">
        <f t="array" ref="L51">IF(InvDump[[#This Row],[Company]]&lt;&gt;"",_xlfn.XLOOKUP(InvDump[[#This Row],[Company]]&amp;InvDump[[#This Row],[Location]],CustomerData!B:B&amp;CustomerData!C:C,CustomerData!E:E,"Email Not Maintained"),"")</f>
        <v/>
      </c>
      <c r="M51" s="18" t="str">
        <f>IF(InvDump[[#This Row],[InvoiceNo]]&lt;&gt;"",CustomerData!$G$2,"")</f>
        <v/>
      </c>
      <c r="N51" s="19" t="str">
        <f>IF(InvDump[[#This Row],[InvoiceNo]]&lt;&gt;"",CustomerData!$H$2,"")</f>
        <v/>
      </c>
      <c r="O51" s="28" t="str" cm="1">
        <f t="array" ref="O51">IF(InvDump[[#This Row],[Company]]&lt;&gt;"",_xlfn.XLOOKUP(InvDump[[#This Row],[Company]]&amp;InvDump[[#This Row],[Location]],CustomerData!B:B&amp;CustomerData!C:C,CustomerData!F:F,"Email Not Maintained"),"")</f>
        <v/>
      </c>
      <c r="P51" s="26" t="str">
        <f>IF(InvDump[[#This Row],[InvAmount]]&lt;&gt;"",InvDump[[#This Row],[InvAmount]]*9%,"")</f>
        <v/>
      </c>
      <c r="Q51" s="30" t="str">
        <f>InvDump[[#This Row],[GST1]]</f>
        <v/>
      </c>
      <c r="R51" s="29" t="str">
        <f>IF(InvDump[[#This Row],[InvAmount]]&lt;&gt;"",SUM(InvDump[[#This Row],[InvAmount]:[GST2]]),"")</f>
        <v/>
      </c>
      <c r="S5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1" s="25" t="str" cm="1">
        <f t="array" ref="T51">IFERROR(FindFilePath(InvDump[[#This Row],[Invoice File Name]]&amp;".pdf",ControlPanel!$C$14), "")</f>
        <v/>
      </c>
      <c r="U5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1" s="25" t="str" cm="1">
        <f t="array" ref="V51">IFERROR(FindFilePath(InvDump[[#This Row],[Annexure File Name]]&amp;".pdf",ControlPanel!$C$14), "")</f>
        <v/>
      </c>
    </row>
    <row r="52" spans="1:22" x14ac:dyDescent="0.3">
      <c r="A52" s="41"/>
      <c r="B52" s="43"/>
      <c r="C52" s="44"/>
      <c r="D52" s="41"/>
      <c r="E52" s="41"/>
      <c r="F52" s="46"/>
      <c r="G52" s="47"/>
      <c r="H52" s="47"/>
      <c r="I52" s="41"/>
      <c r="J52" s="41"/>
      <c r="K52" s="18" t="str">
        <f>IF(InvDump[[#This Row],[InvoiceNo]]&lt;&gt;"","Sir/Ma'am","")</f>
        <v/>
      </c>
      <c r="L52" s="28" t="str" cm="1">
        <f t="array" ref="L52">IF(InvDump[[#This Row],[Company]]&lt;&gt;"",_xlfn.XLOOKUP(InvDump[[#This Row],[Company]]&amp;InvDump[[#This Row],[Location]],CustomerData!B:B&amp;CustomerData!C:C,CustomerData!E:E,"Email Not Maintained"),"")</f>
        <v/>
      </c>
      <c r="M52" s="18" t="str">
        <f>IF(InvDump[[#This Row],[InvoiceNo]]&lt;&gt;"",CustomerData!$G$2,"")</f>
        <v/>
      </c>
      <c r="N52" s="19" t="str">
        <f>IF(InvDump[[#This Row],[InvoiceNo]]&lt;&gt;"",CustomerData!$H$2,"")</f>
        <v/>
      </c>
      <c r="O52" s="28" t="str" cm="1">
        <f t="array" ref="O52">IF(InvDump[[#This Row],[Company]]&lt;&gt;"",_xlfn.XLOOKUP(InvDump[[#This Row],[Company]]&amp;InvDump[[#This Row],[Location]],CustomerData!B:B&amp;CustomerData!C:C,CustomerData!F:F,"Email Not Maintained"),"")</f>
        <v/>
      </c>
      <c r="P52" s="26" t="str">
        <f>IF(InvDump[[#This Row],[InvAmount]]&lt;&gt;"",InvDump[[#This Row],[InvAmount]]*9%,"")</f>
        <v/>
      </c>
      <c r="Q52" s="30" t="str">
        <f>InvDump[[#This Row],[GST1]]</f>
        <v/>
      </c>
      <c r="R52" s="29" t="str">
        <f>IF(InvDump[[#This Row],[InvAmount]]&lt;&gt;"",SUM(InvDump[[#This Row],[InvAmount]:[GST2]]),"")</f>
        <v/>
      </c>
      <c r="S5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2" s="25" t="str" cm="1">
        <f t="array" ref="T52">IFERROR(FindFilePath(InvDump[[#This Row],[Invoice File Name]]&amp;".pdf",ControlPanel!$C$14), "")</f>
        <v/>
      </c>
      <c r="U5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2" s="25" t="str" cm="1">
        <f t="array" ref="V52">IFERROR(FindFilePath(InvDump[[#This Row],[Annexure File Name]]&amp;".pdf",ControlPanel!$C$14), "")</f>
        <v/>
      </c>
    </row>
    <row r="53" spans="1:22" x14ac:dyDescent="0.3">
      <c r="A53" s="41"/>
      <c r="B53" s="43"/>
      <c r="C53" s="44"/>
      <c r="D53" s="41"/>
      <c r="E53" s="41"/>
      <c r="F53" s="46"/>
      <c r="G53" s="47"/>
      <c r="H53" s="47"/>
      <c r="I53" s="41"/>
      <c r="J53" s="41"/>
      <c r="K53" s="18" t="str">
        <f>IF(InvDump[[#This Row],[InvoiceNo]]&lt;&gt;"","Sir/Ma'am","")</f>
        <v/>
      </c>
      <c r="L53" s="28" t="str" cm="1">
        <f t="array" ref="L53">IF(InvDump[[#This Row],[Company]]&lt;&gt;"",_xlfn.XLOOKUP(InvDump[[#This Row],[Company]]&amp;InvDump[[#This Row],[Location]],CustomerData!B:B&amp;CustomerData!C:C,CustomerData!E:E,"Email Not Maintained"),"")</f>
        <v/>
      </c>
      <c r="M53" s="18" t="str">
        <f>IF(InvDump[[#This Row],[InvoiceNo]]&lt;&gt;"",CustomerData!$G$2,"")</f>
        <v/>
      </c>
      <c r="N53" s="19" t="str">
        <f>IF(InvDump[[#This Row],[InvoiceNo]]&lt;&gt;"",CustomerData!$H$2,"")</f>
        <v/>
      </c>
      <c r="O53" s="28" t="str" cm="1">
        <f t="array" ref="O53">IF(InvDump[[#This Row],[Company]]&lt;&gt;"",_xlfn.XLOOKUP(InvDump[[#This Row],[Company]]&amp;InvDump[[#This Row],[Location]],CustomerData!B:B&amp;CustomerData!C:C,CustomerData!F:F,"Email Not Maintained"),"")</f>
        <v/>
      </c>
      <c r="P53" s="26" t="str">
        <f>IF(InvDump[[#This Row],[InvAmount]]&lt;&gt;"",InvDump[[#This Row],[InvAmount]]*9%,"")</f>
        <v/>
      </c>
      <c r="Q53" s="30" t="str">
        <f>InvDump[[#This Row],[GST1]]</f>
        <v/>
      </c>
      <c r="R53" s="29" t="str">
        <f>IF(InvDump[[#This Row],[InvAmount]]&lt;&gt;"",SUM(InvDump[[#This Row],[InvAmount]:[GST2]]),"")</f>
        <v/>
      </c>
      <c r="S5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3" s="25" t="str" cm="1">
        <f t="array" ref="T53">IFERROR(FindFilePath(InvDump[[#This Row],[Invoice File Name]]&amp;".pdf",ControlPanel!$C$14), "")</f>
        <v/>
      </c>
      <c r="U5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3" s="25" t="str" cm="1">
        <f t="array" ref="V53">IFERROR(FindFilePath(InvDump[[#This Row],[Annexure File Name]]&amp;".pdf",ControlPanel!$C$14), "")</f>
        <v/>
      </c>
    </row>
    <row r="54" spans="1:22" x14ac:dyDescent="0.3">
      <c r="A54" s="41"/>
      <c r="B54" s="43"/>
      <c r="C54" s="44"/>
      <c r="D54" s="41"/>
      <c r="E54" s="41"/>
      <c r="F54" s="46"/>
      <c r="G54" s="47"/>
      <c r="H54" s="47"/>
      <c r="I54" s="41"/>
      <c r="J54" s="41"/>
      <c r="K54" s="18" t="str">
        <f>IF(InvDump[[#This Row],[InvoiceNo]]&lt;&gt;"","Sir/Ma'am","")</f>
        <v/>
      </c>
      <c r="L54" s="28" t="str" cm="1">
        <f t="array" ref="L54">IF(InvDump[[#This Row],[Company]]&lt;&gt;"",_xlfn.XLOOKUP(InvDump[[#This Row],[Company]]&amp;InvDump[[#This Row],[Location]],CustomerData!B:B&amp;CustomerData!C:C,CustomerData!E:E,"Email Not Maintained"),"")</f>
        <v/>
      </c>
      <c r="M54" s="18" t="str">
        <f>IF(InvDump[[#This Row],[InvoiceNo]]&lt;&gt;"",CustomerData!$G$2,"")</f>
        <v/>
      </c>
      <c r="N54" s="19" t="str">
        <f>IF(InvDump[[#This Row],[InvoiceNo]]&lt;&gt;"",CustomerData!$H$2,"")</f>
        <v/>
      </c>
      <c r="O54" s="28" t="str" cm="1">
        <f t="array" ref="O54">IF(InvDump[[#This Row],[Company]]&lt;&gt;"",_xlfn.XLOOKUP(InvDump[[#This Row],[Company]]&amp;InvDump[[#This Row],[Location]],CustomerData!B:B&amp;CustomerData!C:C,CustomerData!F:F,"Email Not Maintained"),"")</f>
        <v/>
      </c>
      <c r="P54" s="26" t="str">
        <f>IF(InvDump[[#This Row],[InvAmount]]&lt;&gt;"",InvDump[[#This Row],[InvAmount]]*9%,"")</f>
        <v/>
      </c>
      <c r="Q54" s="30" t="str">
        <f>InvDump[[#This Row],[GST1]]</f>
        <v/>
      </c>
      <c r="R54" s="29" t="str">
        <f>IF(InvDump[[#This Row],[InvAmount]]&lt;&gt;"",SUM(InvDump[[#This Row],[InvAmount]:[GST2]]),"")</f>
        <v/>
      </c>
      <c r="S5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4" s="25" t="str" cm="1">
        <f t="array" ref="T54">IFERROR(FindFilePath(InvDump[[#This Row],[Invoice File Name]]&amp;".pdf",ControlPanel!$C$14), "")</f>
        <v/>
      </c>
      <c r="U5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4" s="25" t="str" cm="1">
        <f t="array" ref="V54">IFERROR(FindFilePath(InvDump[[#This Row],[Annexure File Name]]&amp;".pdf",ControlPanel!$C$14), "")</f>
        <v/>
      </c>
    </row>
    <row r="55" spans="1:22" x14ac:dyDescent="0.3">
      <c r="A55" s="41"/>
      <c r="B55" s="43"/>
      <c r="C55" s="44"/>
      <c r="D55" s="41"/>
      <c r="E55" s="41"/>
      <c r="F55" s="46"/>
      <c r="G55" s="47"/>
      <c r="H55" s="47"/>
      <c r="I55" s="41"/>
      <c r="J55" s="41"/>
      <c r="K55" s="18" t="str">
        <f>IF(InvDump[[#This Row],[InvoiceNo]]&lt;&gt;"","Sir/Ma'am","")</f>
        <v/>
      </c>
      <c r="L55" s="28" t="str" cm="1">
        <f t="array" ref="L55">IF(InvDump[[#This Row],[Company]]&lt;&gt;"",_xlfn.XLOOKUP(InvDump[[#This Row],[Company]]&amp;InvDump[[#This Row],[Location]],CustomerData!B:B&amp;CustomerData!C:C,CustomerData!E:E,"Email Not Maintained"),"")</f>
        <v/>
      </c>
      <c r="M55" s="18" t="str">
        <f>IF(InvDump[[#This Row],[InvoiceNo]]&lt;&gt;"",CustomerData!$G$2,"")</f>
        <v/>
      </c>
      <c r="N55" s="19" t="str">
        <f>IF(InvDump[[#This Row],[InvoiceNo]]&lt;&gt;"",CustomerData!$H$2,"")</f>
        <v/>
      </c>
      <c r="O55" s="28" t="str" cm="1">
        <f t="array" ref="O55">IF(InvDump[[#This Row],[Company]]&lt;&gt;"",_xlfn.XLOOKUP(InvDump[[#This Row],[Company]]&amp;InvDump[[#This Row],[Location]],CustomerData!B:B&amp;CustomerData!C:C,CustomerData!F:F,"Email Not Maintained"),"")</f>
        <v/>
      </c>
      <c r="P55" s="26" t="str">
        <f>IF(InvDump[[#This Row],[InvAmount]]&lt;&gt;"",InvDump[[#This Row],[InvAmount]]*9%,"")</f>
        <v/>
      </c>
      <c r="Q55" s="30" t="str">
        <f>InvDump[[#This Row],[GST1]]</f>
        <v/>
      </c>
      <c r="R55" s="29" t="str">
        <f>IF(InvDump[[#This Row],[InvAmount]]&lt;&gt;"",SUM(InvDump[[#This Row],[InvAmount]:[GST2]]),"")</f>
        <v/>
      </c>
      <c r="S5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5" s="25" t="str" cm="1">
        <f t="array" ref="T55">IFERROR(FindFilePath(InvDump[[#This Row],[Invoice File Name]]&amp;".pdf",ControlPanel!$C$14), "")</f>
        <v/>
      </c>
      <c r="U5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5" s="25" t="str" cm="1">
        <f t="array" ref="V55">IFERROR(FindFilePath(InvDump[[#This Row],[Annexure File Name]]&amp;".pdf",ControlPanel!$C$14), "")</f>
        <v/>
      </c>
    </row>
    <row r="56" spans="1:22" x14ac:dyDescent="0.3">
      <c r="A56" s="41"/>
      <c r="B56" s="43"/>
      <c r="C56" s="44"/>
      <c r="D56" s="41"/>
      <c r="E56" s="41"/>
      <c r="F56" s="46"/>
      <c r="G56" s="47"/>
      <c r="H56" s="47"/>
      <c r="I56" s="41"/>
      <c r="J56" s="41"/>
      <c r="K56" s="18" t="str">
        <f>IF(InvDump[[#This Row],[InvoiceNo]]&lt;&gt;"","Sir/Ma'am","")</f>
        <v/>
      </c>
      <c r="L56" s="28" t="str" cm="1">
        <f t="array" ref="L56">IF(InvDump[[#This Row],[Company]]&lt;&gt;"",_xlfn.XLOOKUP(InvDump[[#This Row],[Company]]&amp;InvDump[[#This Row],[Location]],CustomerData!B:B&amp;CustomerData!C:C,CustomerData!E:E,"Email Not Maintained"),"")</f>
        <v/>
      </c>
      <c r="M56" s="18" t="str">
        <f>IF(InvDump[[#This Row],[InvoiceNo]]&lt;&gt;"",CustomerData!$G$2,"")</f>
        <v/>
      </c>
      <c r="N56" s="19" t="str">
        <f>IF(InvDump[[#This Row],[InvoiceNo]]&lt;&gt;"",CustomerData!$H$2,"")</f>
        <v/>
      </c>
      <c r="O56" s="28" t="str" cm="1">
        <f t="array" ref="O56">IF(InvDump[[#This Row],[Company]]&lt;&gt;"",_xlfn.XLOOKUP(InvDump[[#This Row],[Company]]&amp;InvDump[[#This Row],[Location]],CustomerData!B:B&amp;CustomerData!C:C,CustomerData!F:F,"Email Not Maintained"),"")</f>
        <v/>
      </c>
      <c r="P56" s="26" t="str">
        <f>IF(InvDump[[#This Row],[InvAmount]]&lt;&gt;"",InvDump[[#This Row],[InvAmount]]*9%,"")</f>
        <v/>
      </c>
      <c r="Q56" s="30" t="str">
        <f>InvDump[[#This Row],[GST1]]</f>
        <v/>
      </c>
      <c r="R56" s="29" t="str">
        <f>IF(InvDump[[#This Row],[InvAmount]]&lt;&gt;"",SUM(InvDump[[#This Row],[InvAmount]:[GST2]]),"")</f>
        <v/>
      </c>
      <c r="S5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6" s="25" t="str" cm="1">
        <f t="array" ref="T56">IFERROR(FindFilePath(InvDump[[#This Row],[Invoice File Name]]&amp;".pdf",ControlPanel!$C$14), "")</f>
        <v/>
      </c>
      <c r="U5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6" s="25" t="str" cm="1">
        <f t="array" ref="V56">IFERROR(FindFilePath(InvDump[[#This Row],[Annexure File Name]]&amp;".pdf",ControlPanel!$C$14), "")</f>
        <v/>
      </c>
    </row>
    <row r="57" spans="1:22" x14ac:dyDescent="0.3">
      <c r="A57" s="41"/>
      <c r="B57" s="43"/>
      <c r="C57" s="44"/>
      <c r="D57" s="41"/>
      <c r="E57" s="41"/>
      <c r="F57" s="46"/>
      <c r="G57" s="47"/>
      <c r="H57" s="47"/>
      <c r="I57" s="41"/>
      <c r="J57" s="41"/>
      <c r="K57" s="18" t="str">
        <f>IF(InvDump[[#This Row],[InvoiceNo]]&lt;&gt;"","Sir/Ma'am","")</f>
        <v/>
      </c>
      <c r="L57" s="28" t="str" cm="1">
        <f t="array" ref="L57">IF(InvDump[[#This Row],[Company]]&lt;&gt;"",_xlfn.XLOOKUP(InvDump[[#This Row],[Company]]&amp;InvDump[[#This Row],[Location]],CustomerData!B:B&amp;CustomerData!C:C,CustomerData!E:E,"Email Not Maintained"),"")</f>
        <v/>
      </c>
      <c r="M57" s="18" t="str">
        <f>IF(InvDump[[#This Row],[InvoiceNo]]&lt;&gt;"",CustomerData!$G$2,"")</f>
        <v/>
      </c>
      <c r="N57" s="19" t="str">
        <f>IF(InvDump[[#This Row],[InvoiceNo]]&lt;&gt;"",CustomerData!$H$2,"")</f>
        <v/>
      </c>
      <c r="O57" s="28" t="str" cm="1">
        <f t="array" ref="O57">IF(InvDump[[#This Row],[Company]]&lt;&gt;"",_xlfn.XLOOKUP(InvDump[[#This Row],[Company]]&amp;InvDump[[#This Row],[Location]],CustomerData!B:B&amp;CustomerData!C:C,CustomerData!F:F,"Email Not Maintained"),"")</f>
        <v/>
      </c>
      <c r="P57" s="26" t="str">
        <f>IF(InvDump[[#This Row],[InvAmount]]&lt;&gt;"",InvDump[[#This Row],[InvAmount]]*9%,"")</f>
        <v/>
      </c>
      <c r="Q57" s="30" t="str">
        <f>InvDump[[#This Row],[GST1]]</f>
        <v/>
      </c>
      <c r="R57" s="29" t="str">
        <f>IF(InvDump[[#This Row],[InvAmount]]&lt;&gt;"",SUM(InvDump[[#This Row],[InvAmount]:[GST2]]),"")</f>
        <v/>
      </c>
      <c r="S5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7" s="25" t="str" cm="1">
        <f t="array" ref="T57">IFERROR(FindFilePath(InvDump[[#This Row],[Invoice File Name]]&amp;".pdf",ControlPanel!$C$14), "")</f>
        <v/>
      </c>
      <c r="U5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7" s="25" t="str" cm="1">
        <f t="array" ref="V57">IFERROR(FindFilePath(InvDump[[#This Row],[Annexure File Name]]&amp;".pdf",ControlPanel!$C$14), "")</f>
        <v/>
      </c>
    </row>
    <row r="58" spans="1:22" x14ac:dyDescent="0.3">
      <c r="A58" s="41"/>
      <c r="B58" s="43"/>
      <c r="C58" s="44"/>
      <c r="D58" s="41"/>
      <c r="E58" s="41"/>
      <c r="F58" s="46"/>
      <c r="G58" s="47"/>
      <c r="H58" s="47"/>
      <c r="I58" s="41"/>
      <c r="J58" s="41"/>
      <c r="K58" s="18" t="str">
        <f>IF(InvDump[[#This Row],[InvoiceNo]]&lt;&gt;"","Sir/Ma'am","")</f>
        <v/>
      </c>
      <c r="L58" s="28" t="str" cm="1">
        <f t="array" ref="L58">IF(InvDump[[#This Row],[Company]]&lt;&gt;"",_xlfn.XLOOKUP(InvDump[[#This Row],[Company]]&amp;InvDump[[#This Row],[Location]],CustomerData!B:B&amp;CustomerData!C:C,CustomerData!E:E,"Email Not Maintained"),"")</f>
        <v/>
      </c>
      <c r="M58" s="18" t="str">
        <f>IF(InvDump[[#This Row],[InvoiceNo]]&lt;&gt;"",CustomerData!$G$2,"")</f>
        <v/>
      </c>
      <c r="N58" s="19" t="str">
        <f>IF(InvDump[[#This Row],[InvoiceNo]]&lt;&gt;"",CustomerData!$H$2,"")</f>
        <v/>
      </c>
      <c r="O58" s="28" t="str" cm="1">
        <f t="array" ref="O58">IF(InvDump[[#This Row],[Company]]&lt;&gt;"",_xlfn.XLOOKUP(InvDump[[#This Row],[Company]]&amp;InvDump[[#This Row],[Location]],CustomerData!B:B&amp;CustomerData!C:C,CustomerData!F:F,"Email Not Maintained"),"")</f>
        <v/>
      </c>
      <c r="P58" s="26" t="str">
        <f>IF(InvDump[[#This Row],[InvAmount]]&lt;&gt;"",InvDump[[#This Row],[InvAmount]]*9%,"")</f>
        <v/>
      </c>
      <c r="Q58" s="30" t="str">
        <f>InvDump[[#This Row],[GST1]]</f>
        <v/>
      </c>
      <c r="R58" s="29" t="str">
        <f>IF(InvDump[[#This Row],[InvAmount]]&lt;&gt;"",SUM(InvDump[[#This Row],[InvAmount]:[GST2]]),"")</f>
        <v/>
      </c>
      <c r="S5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8" s="25" t="str" cm="1">
        <f t="array" ref="T58">IFERROR(FindFilePath(InvDump[[#This Row],[Invoice File Name]]&amp;".pdf",ControlPanel!$C$14), "")</f>
        <v/>
      </c>
      <c r="U5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8" s="25" t="str" cm="1">
        <f t="array" ref="V58">IFERROR(FindFilePath(InvDump[[#This Row],[Annexure File Name]]&amp;".pdf",ControlPanel!$C$14), "")</f>
        <v/>
      </c>
    </row>
    <row r="59" spans="1:22" x14ac:dyDescent="0.3">
      <c r="A59" s="41"/>
      <c r="B59" s="43"/>
      <c r="C59" s="44"/>
      <c r="D59" s="41"/>
      <c r="E59" s="41"/>
      <c r="F59" s="46"/>
      <c r="G59" s="47"/>
      <c r="H59" s="47"/>
      <c r="I59" s="41"/>
      <c r="J59" s="41"/>
      <c r="K59" s="18" t="str">
        <f>IF(InvDump[[#This Row],[InvoiceNo]]&lt;&gt;"","Sir/Ma'am","")</f>
        <v/>
      </c>
      <c r="L59" s="28" t="str" cm="1">
        <f t="array" ref="L59">IF(InvDump[[#This Row],[Company]]&lt;&gt;"",_xlfn.XLOOKUP(InvDump[[#This Row],[Company]]&amp;InvDump[[#This Row],[Location]],CustomerData!B:B&amp;CustomerData!C:C,CustomerData!E:E,"Email Not Maintained"),"")</f>
        <v/>
      </c>
      <c r="M59" s="18" t="str">
        <f>IF(InvDump[[#This Row],[InvoiceNo]]&lt;&gt;"",CustomerData!$G$2,"")</f>
        <v/>
      </c>
      <c r="N59" s="19" t="str">
        <f>IF(InvDump[[#This Row],[InvoiceNo]]&lt;&gt;"",CustomerData!$H$2,"")</f>
        <v/>
      </c>
      <c r="O59" s="28" t="str" cm="1">
        <f t="array" ref="O59">IF(InvDump[[#This Row],[Company]]&lt;&gt;"",_xlfn.XLOOKUP(InvDump[[#This Row],[Company]]&amp;InvDump[[#This Row],[Location]],CustomerData!B:B&amp;CustomerData!C:C,CustomerData!F:F,"Email Not Maintained"),"")</f>
        <v/>
      </c>
      <c r="P59" s="26" t="str">
        <f>IF(InvDump[[#This Row],[InvAmount]]&lt;&gt;"",InvDump[[#This Row],[InvAmount]]*9%,"")</f>
        <v/>
      </c>
      <c r="Q59" s="30" t="str">
        <f>InvDump[[#This Row],[GST1]]</f>
        <v/>
      </c>
      <c r="R59" s="29" t="str">
        <f>IF(InvDump[[#This Row],[InvAmount]]&lt;&gt;"",SUM(InvDump[[#This Row],[InvAmount]:[GST2]]),"")</f>
        <v/>
      </c>
      <c r="S5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59" s="25" t="str" cm="1">
        <f t="array" ref="T59">IFERROR(FindFilePath(InvDump[[#This Row],[Invoice File Name]]&amp;".pdf",ControlPanel!$C$14), "")</f>
        <v/>
      </c>
      <c r="U5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59" s="25" t="str" cm="1">
        <f t="array" ref="V59">IFERROR(FindFilePath(InvDump[[#This Row],[Annexure File Name]]&amp;".pdf",ControlPanel!$C$14), "")</f>
        <v/>
      </c>
    </row>
    <row r="60" spans="1:22" x14ac:dyDescent="0.3">
      <c r="A60" s="41"/>
      <c r="B60" s="43"/>
      <c r="C60" s="44"/>
      <c r="D60" s="41"/>
      <c r="E60" s="41"/>
      <c r="F60" s="46"/>
      <c r="G60" s="47"/>
      <c r="H60" s="47"/>
      <c r="I60" s="41"/>
      <c r="J60" s="41"/>
      <c r="K60" s="18" t="str">
        <f>IF(InvDump[[#This Row],[InvoiceNo]]&lt;&gt;"","Sir/Ma'am","")</f>
        <v/>
      </c>
      <c r="L60" s="28" t="str" cm="1">
        <f t="array" ref="L60">IF(InvDump[[#This Row],[Company]]&lt;&gt;"",_xlfn.XLOOKUP(InvDump[[#This Row],[Company]]&amp;InvDump[[#This Row],[Location]],CustomerData!B:B&amp;CustomerData!C:C,CustomerData!E:E,"Email Not Maintained"),"")</f>
        <v/>
      </c>
      <c r="M60" s="18" t="str">
        <f>IF(InvDump[[#This Row],[InvoiceNo]]&lt;&gt;"",CustomerData!$G$2,"")</f>
        <v/>
      </c>
      <c r="N60" s="19" t="str">
        <f>IF(InvDump[[#This Row],[InvoiceNo]]&lt;&gt;"",CustomerData!$H$2,"")</f>
        <v/>
      </c>
      <c r="O60" s="28" t="str" cm="1">
        <f t="array" ref="O60">IF(InvDump[[#This Row],[Company]]&lt;&gt;"",_xlfn.XLOOKUP(InvDump[[#This Row],[Company]]&amp;InvDump[[#This Row],[Location]],CustomerData!B:B&amp;CustomerData!C:C,CustomerData!F:F,"Email Not Maintained"),"")</f>
        <v/>
      </c>
      <c r="P60" s="26" t="str">
        <f>IF(InvDump[[#This Row],[InvAmount]]&lt;&gt;"",InvDump[[#This Row],[InvAmount]]*9%,"")</f>
        <v/>
      </c>
      <c r="Q60" s="30" t="str">
        <f>InvDump[[#This Row],[GST1]]</f>
        <v/>
      </c>
      <c r="R60" s="29" t="str">
        <f>IF(InvDump[[#This Row],[InvAmount]]&lt;&gt;"",SUM(InvDump[[#This Row],[InvAmount]:[GST2]]),"")</f>
        <v/>
      </c>
      <c r="S6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0" s="25" t="str" cm="1">
        <f t="array" ref="T60">IFERROR(FindFilePath(InvDump[[#This Row],[Invoice File Name]]&amp;".pdf",ControlPanel!$C$14), "")</f>
        <v/>
      </c>
      <c r="U6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0" s="25" t="str" cm="1">
        <f t="array" ref="V60">IFERROR(FindFilePath(InvDump[[#This Row],[Annexure File Name]]&amp;".pdf",ControlPanel!$C$14), "")</f>
        <v/>
      </c>
    </row>
    <row r="61" spans="1:22" x14ac:dyDescent="0.3">
      <c r="A61" s="41"/>
      <c r="B61" s="43"/>
      <c r="C61" s="44"/>
      <c r="D61" s="41"/>
      <c r="E61" s="41"/>
      <c r="F61" s="46"/>
      <c r="G61" s="47"/>
      <c r="H61" s="47"/>
      <c r="I61" s="41"/>
      <c r="J61" s="41"/>
      <c r="K61" s="18" t="str">
        <f>IF(InvDump[[#This Row],[InvoiceNo]]&lt;&gt;"","Sir/Ma'am","")</f>
        <v/>
      </c>
      <c r="L61" s="28" t="str" cm="1">
        <f t="array" ref="L61">IF(InvDump[[#This Row],[Company]]&lt;&gt;"",_xlfn.XLOOKUP(InvDump[[#This Row],[Company]]&amp;InvDump[[#This Row],[Location]],CustomerData!B:B&amp;CustomerData!C:C,CustomerData!E:E,"Email Not Maintained"),"")</f>
        <v/>
      </c>
      <c r="M61" s="18" t="str">
        <f>IF(InvDump[[#This Row],[InvoiceNo]]&lt;&gt;"",CustomerData!$G$2,"")</f>
        <v/>
      </c>
      <c r="N61" s="19" t="str">
        <f>IF(InvDump[[#This Row],[InvoiceNo]]&lt;&gt;"",CustomerData!$H$2,"")</f>
        <v/>
      </c>
      <c r="O61" s="28" t="str" cm="1">
        <f t="array" ref="O61">IF(InvDump[[#This Row],[Company]]&lt;&gt;"",_xlfn.XLOOKUP(InvDump[[#This Row],[Company]]&amp;InvDump[[#This Row],[Location]],CustomerData!B:B&amp;CustomerData!C:C,CustomerData!F:F,"Email Not Maintained"),"")</f>
        <v/>
      </c>
      <c r="P61" s="26" t="str">
        <f>IF(InvDump[[#This Row],[InvAmount]]&lt;&gt;"",InvDump[[#This Row],[InvAmount]]*9%,"")</f>
        <v/>
      </c>
      <c r="Q61" s="30" t="str">
        <f>InvDump[[#This Row],[GST1]]</f>
        <v/>
      </c>
      <c r="R61" s="29" t="str">
        <f>IF(InvDump[[#This Row],[InvAmount]]&lt;&gt;"",SUM(InvDump[[#This Row],[InvAmount]:[GST2]]),"")</f>
        <v/>
      </c>
      <c r="S6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1" s="25" t="str" cm="1">
        <f t="array" ref="T61">IFERROR(FindFilePath(InvDump[[#This Row],[Invoice File Name]]&amp;".pdf",ControlPanel!$C$14), "")</f>
        <v/>
      </c>
      <c r="U6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1" s="25" t="str" cm="1">
        <f t="array" ref="V61">IFERROR(FindFilePath(InvDump[[#This Row],[Annexure File Name]]&amp;".pdf",ControlPanel!$C$14), "")</f>
        <v/>
      </c>
    </row>
    <row r="62" spans="1:22" x14ac:dyDescent="0.3">
      <c r="A62" s="41"/>
      <c r="B62" s="43"/>
      <c r="C62" s="44"/>
      <c r="D62" s="41"/>
      <c r="E62" s="41"/>
      <c r="F62" s="46"/>
      <c r="G62" s="47"/>
      <c r="H62" s="47"/>
      <c r="I62" s="41"/>
      <c r="J62" s="41"/>
      <c r="K62" s="18" t="str">
        <f>IF(InvDump[[#This Row],[InvoiceNo]]&lt;&gt;"","Sir/Ma'am","")</f>
        <v/>
      </c>
      <c r="L62" s="28" t="str" cm="1">
        <f t="array" ref="L62">IF(InvDump[[#This Row],[Company]]&lt;&gt;"",_xlfn.XLOOKUP(InvDump[[#This Row],[Company]]&amp;InvDump[[#This Row],[Location]],CustomerData!B:B&amp;CustomerData!C:C,CustomerData!E:E,"Email Not Maintained"),"")</f>
        <v/>
      </c>
      <c r="M62" s="18" t="str">
        <f>IF(InvDump[[#This Row],[InvoiceNo]]&lt;&gt;"",CustomerData!$G$2,"")</f>
        <v/>
      </c>
      <c r="N62" s="19" t="str">
        <f>IF(InvDump[[#This Row],[InvoiceNo]]&lt;&gt;"",CustomerData!$H$2,"")</f>
        <v/>
      </c>
      <c r="O62" s="28" t="str" cm="1">
        <f t="array" ref="O62">IF(InvDump[[#This Row],[Company]]&lt;&gt;"",_xlfn.XLOOKUP(InvDump[[#This Row],[Company]]&amp;InvDump[[#This Row],[Location]],CustomerData!B:B&amp;CustomerData!C:C,CustomerData!F:F,"Email Not Maintained"),"")</f>
        <v/>
      </c>
      <c r="P62" s="27" t="str">
        <f>IF(InvDump[[#This Row],[InvAmount]]&lt;&gt;"",InvDump[[#This Row],[InvAmount]]*9%,"")</f>
        <v/>
      </c>
      <c r="Q62" s="29" t="str">
        <f>InvDump[[#This Row],[GST1]]</f>
        <v/>
      </c>
      <c r="R62" s="29" t="str">
        <f>IF(InvDump[[#This Row],[InvAmount]]&lt;&gt;"",SUM(InvDump[[#This Row],[InvAmount]:[GST2]]),"")</f>
        <v/>
      </c>
      <c r="S6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2" s="25" t="str" cm="1">
        <f t="array" ref="T62">IFERROR(FindFilePath(InvDump[[#This Row],[Invoice File Name]]&amp;".pdf",ControlPanel!$C$14), "")</f>
        <v/>
      </c>
      <c r="U6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2" s="25" t="str" cm="1">
        <f t="array" ref="V62">IFERROR(FindFilePath(InvDump[[#This Row],[Annexure File Name]]&amp;".pdf",ControlPanel!$C$14), "")</f>
        <v/>
      </c>
    </row>
    <row r="63" spans="1:22" x14ac:dyDescent="0.3">
      <c r="A63" s="41"/>
      <c r="B63" s="43"/>
      <c r="C63" s="44"/>
      <c r="D63" s="41"/>
      <c r="E63" s="41"/>
      <c r="F63" s="46"/>
      <c r="G63" s="47"/>
      <c r="H63" s="47"/>
      <c r="I63" s="41"/>
      <c r="J63" s="41"/>
      <c r="K63" s="18" t="str">
        <f>IF(InvDump[[#This Row],[InvoiceNo]]&lt;&gt;"","Sir/Ma'am","")</f>
        <v/>
      </c>
      <c r="L63" s="28" t="str" cm="1">
        <f t="array" ref="L63">IF(InvDump[[#This Row],[Company]]&lt;&gt;"",_xlfn.XLOOKUP(InvDump[[#This Row],[Company]]&amp;InvDump[[#This Row],[Location]],CustomerData!B:B&amp;CustomerData!C:C,CustomerData!E:E,"Email Not Maintained"),"")</f>
        <v/>
      </c>
      <c r="M63" s="18" t="str">
        <f>IF(InvDump[[#This Row],[InvoiceNo]]&lt;&gt;"",CustomerData!$G$2,"")</f>
        <v/>
      </c>
      <c r="N63" s="19" t="str">
        <f>IF(InvDump[[#This Row],[InvoiceNo]]&lt;&gt;"",CustomerData!$H$2,"")</f>
        <v/>
      </c>
      <c r="O63" s="28" t="str" cm="1">
        <f t="array" ref="O63">IF(InvDump[[#This Row],[Company]]&lt;&gt;"",_xlfn.XLOOKUP(InvDump[[#This Row],[Company]]&amp;InvDump[[#This Row],[Location]],CustomerData!B:B&amp;CustomerData!C:C,CustomerData!F:F,"Email Not Maintained"),"")</f>
        <v/>
      </c>
      <c r="P63" s="26" t="str">
        <f>IF(InvDump[[#This Row],[InvAmount]]&lt;&gt;"",InvDump[[#This Row],[InvAmount]]*9%,"")</f>
        <v/>
      </c>
      <c r="Q63" s="30" t="str">
        <f>InvDump[[#This Row],[GST1]]</f>
        <v/>
      </c>
      <c r="R63" s="30" t="str">
        <f>IF(InvDump[[#This Row],[InvAmount]]&lt;&gt;"",SUM(InvDump[[#This Row],[InvAmount]:[GST2]]),"")</f>
        <v/>
      </c>
      <c r="S6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3" s="25" t="str" cm="1">
        <f t="array" ref="T63">IFERROR(FindFilePath(InvDump[[#This Row],[Invoice File Name]]&amp;".pdf",ControlPanel!$C$14), "")</f>
        <v/>
      </c>
      <c r="U6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3" s="25" t="str" cm="1">
        <f t="array" ref="V63">IFERROR(FindFilePath(InvDump[[#This Row],[Annexure File Name]]&amp;".pdf",ControlPanel!$C$14), "")</f>
        <v/>
      </c>
    </row>
    <row r="64" spans="1:22" x14ac:dyDescent="0.3">
      <c r="A64" s="41"/>
      <c r="B64" s="43"/>
      <c r="C64" s="44"/>
      <c r="D64" s="41"/>
      <c r="E64" s="41"/>
      <c r="F64" s="46"/>
      <c r="G64" s="47"/>
      <c r="H64" s="47"/>
      <c r="I64" s="41"/>
      <c r="J64" s="41"/>
      <c r="K64" s="18" t="str">
        <f>IF(InvDump[[#This Row],[InvoiceNo]]&lt;&gt;"","Sir/Ma'am","")</f>
        <v/>
      </c>
      <c r="L64" s="28" t="str" cm="1">
        <f t="array" ref="L64">IF(InvDump[[#This Row],[Company]]&lt;&gt;"",_xlfn.XLOOKUP(InvDump[[#This Row],[Company]]&amp;InvDump[[#This Row],[Location]],CustomerData!B:B&amp;CustomerData!C:C,CustomerData!E:E,"Email Not Maintained"),"")</f>
        <v/>
      </c>
      <c r="M64" s="18" t="str">
        <f>IF(InvDump[[#This Row],[InvoiceNo]]&lt;&gt;"",CustomerData!$G$2,"")</f>
        <v/>
      </c>
      <c r="N64" s="19" t="str">
        <f>IF(InvDump[[#This Row],[InvoiceNo]]&lt;&gt;"",CustomerData!$H$2,"")</f>
        <v/>
      </c>
      <c r="O64" s="28" t="str" cm="1">
        <f t="array" ref="O64">IF(InvDump[[#This Row],[Company]]&lt;&gt;"",_xlfn.XLOOKUP(InvDump[[#This Row],[Company]]&amp;InvDump[[#This Row],[Location]],CustomerData!B:B&amp;CustomerData!C:C,CustomerData!F:F,"Email Not Maintained"),"")</f>
        <v/>
      </c>
      <c r="P64" s="26" t="str">
        <f>IF(InvDump[[#This Row],[InvAmount]]&lt;&gt;"",InvDump[[#This Row],[InvAmount]]*9%,"")</f>
        <v/>
      </c>
      <c r="Q64" s="30" t="str">
        <f>InvDump[[#This Row],[GST1]]</f>
        <v/>
      </c>
      <c r="R64" s="30" t="str">
        <f>IF(InvDump[[#This Row],[InvAmount]]&lt;&gt;"",SUM(InvDump[[#This Row],[InvAmount]:[GST2]]),"")</f>
        <v/>
      </c>
      <c r="S6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4" s="25" t="str" cm="1">
        <f t="array" ref="T64">IFERROR(FindFilePath(InvDump[[#This Row],[Invoice File Name]]&amp;".pdf",ControlPanel!$C$14), "")</f>
        <v/>
      </c>
      <c r="U6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4" s="25" t="str" cm="1">
        <f t="array" ref="V64">IFERROR(FindFilePath(InvDump[[#This Row],[Annexure File Name]]&amp;".pdf",ControlPanel!$C$14), "")</f>
        <v/>
      </c>
    </row>
    <row r="65" spans="1:22" x14ac:dyDescent="0.3">
      <c r="A65" s="41"/>
      <c r="B65" s="43"/>
      <c r="C65" s="44"/>
      <c r="D65" s="41"/>
      <c r="E65" s="41"/>
      <c r="F65" s="46"/>
      <c r="G65" s="47"/>
      <c r="H65" s="47"/>
      <c r="I65" s="41"/>
      <c r="J65" s="41"/>
      <c r="K65" s="18" t="str">
        <f>IF(InvDump[[#This Row],[InvoiceNo]]&lt;&gt;"","Sir/Ma'am","")</f>
        <v/>
      </c>
      <c r="L65" s="28" t="str" cm="1">
        <f t="array" ref="L65">IF(InvDump[[#This Row],[Company]]&lt;&gt;"",_xlfn.XLOOKUP(InvDump[[#This Row],[Company]]&amp;InvDump[[#This Row],[Location]],CustomerData!B:B&amp;CustomerData!C:C,CustomerData!E:E,"Email Not Maintained"),"")</f>
        <v/>
      </c>
      <c r="M65" s="18" t="str">
        <f>IF(InvDump[[#This Row],[InvoiceNo]]&lt;&gt;"",CustomerData!$G$2,"")</f>
        <v/>
      </c>
      <c r="N65" s="19" t="str">
        <f>IF(InvDump[[#This Row],[InvoiceNo]]&lt;&gt;"",CustomerData!$H$2,"")</f>
        <v/>
      </c>
      <c r="O65" s="28" t="str" cm="1">
        <f t="array" ref="O65">IF(InvDump[[#This Row],[Company]]&lt;&gt;"",_xlfn.XLOOKUP(InvDump[[#This Row],[Company]]&amp;InvDump[[#This Row],[Location]],CustomerData!B:B&amp;CustomerData!C:C,CustomerData!F:F,"Email Not Maintained"),"")</f>
        <v/>
      </c>
      <c r="P65" s="26" t="str">
        <f>IF(InvDump[[#This Row],[InvAmount]]&lt;&gt;"",InvDump[[#This Row],[InvAmount]]*9%,"")</f>
        <v/>
      </c>
      <c r="Q65" s="30" t="str">
        <f>InvDump[[#This Row],[GST1]]</f>
        <v/>
      </c>
      <c r="R65" s="30" t="str">
        <f>IF(InvDump[[#This Row],[InvAmount]]&lt;&gt;"",SUM(InvDump[[#This Row],[InvAmount]:[GST2]]),"")</f>
        <v/>
      </c>
      <c r="S6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5" s="25" t="str" cm="1">
        <f t="array" ref="T65">IFERROR(FindFilePath(InvDump[[#This Row],[Invoice File Name]]&amp;".pdf",ControlPanel!$C$14), "")</f>
        <v/>
      </c>
      <c r="U6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5" s="25" t="str" cm="1">
        <f t="array" ref="V65">IFERROR(FindFilePath(InvDump[[#This Row],[Annexure File Name]]&amp;".pdf",ControlPanel!$C$14), "")</f>
        <v/>
      </c>
    </row>
    <row r="66" spans="1:22" x14ac:dyDescent="0.3">
      <c r="A66" s="41"/>
      <c r="B66" s="43"/>
      <c r="C66" s="44"/>
      <c r="D66" s="41"/>
      <c r="E66" s="41"/>
      <c r="F66" s="46"/>
      <c r="G66" s="47"/>
      <c r="H66" s="47"/>
      <c r="I66" s="41"/>
      <c r="J66" s="41"/>
      <c r="K66" s="18" t="str">
        <f>IF(InvDump[[#This Row],[InvoiceNo]]&lt;&gt;"","Sir/Ma'am","")</f>
        <v/>
      </c>
      <c r="L66" s="28" t="str" cm="1">
        <f t="array" ref="L66">IF(InvDump[[#This Row],[Company]]&lt;&gt;"",_xlfn.XLOOKUP(InvDump[[#This Row],[Company]]&amp;InvDump[[#This Row],[Location]],CustomerData!B:B&amp;CustomerData!C:C,CustomerData!E:E,"Email Not Maintained"),"")</f>
        <v/>
      </c>
      <c r="M66" s="18" t="str">
        <f>IF(InvDump[[#This Row],[InvoiceNo]]&lt;&gt;"",CustomerData!$G$2,"")</f>
        <v/>
      </c>
      <c r="N66" s="19" t="str">
        <f>IF(InvDump[[#This Row],[InvoiceNo]]&lt;&gt;"",CustomerData!$H$2,"")</f>
        <v/>
      </c>
      <c r="O66" s="28" t="str" cm="1">
        <f t="array" ref="O66">IF(InvDump[[#This Row],[Company]]&lt;&gt;"",_xlfn.XLOOKUP(InvDump[[#This Row],[Company]]&amp;InvDump[[#This Row],[Location]],CustomerData!B:B&amp;CustomerData!C:C,CustomerData!F:F,"Email Not Maintained"),"")</f>
        <v/>
      </c>
      <c r="P66" s="26" t="str">
        <f>IF(InvDump[[#This Row],[InvAmount]]&lt;&gt;"",InvDump[[#This Row],[InvAmount]]*9%,"")</f>
        <v/>
      </c>
      <c r="Q66" s="30" t="str">
        <f>InvDump[[#This Row],[GST1]]</f>
        <v/>
      </c>
      <c r="R66" s="30" t="str">
        <f>IF(InvDump[[#This Row],[InvAmount]]&lt;&gt;"",SUM(InvDump[[#This Row],[InvAmount]:[GST2]]),"")</f>
        <v/>
      </c>
      <c r="S6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6" s="25" t="str" cm="1">
        <f t="array" ref="T66">IFERROR(FindFilePath(InvDump[[#This Row],[Invoice File Name]]&amp;".pdf",ControlPanel!$C$14), "")</f>
        <v/>
      </c>
      <c r="U6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6" s="25" t="str" cm="1">
        <f t="array" ref="V66">IFERROR(FindFilePath(InvDump[[#This Row],[Annexure File Name]]&amp;".pdf",ControlPanel!$C$14), "")</f>
        <v/>
      </c>
    </row>
    <row r="67" spans="1:22" x14ac:dyDescent="0.3">
      <c r="A67" s="41"/>
      <c r="B67" s="43"/>
      <c r="C67" s="44"/>
      <c r="D67" s="41"/>
      <c r="E67" s="41"/>
      <c r="F67" s="46"/>
      <c r="G67" s="47"/>
      <c r="H67" s="47"/>
      <c r="I67" s="41"/>
      <c r="J67" s="41"/>
      <c r="K67" s="18" t="str">
        <f>IF(InvDump[[#This Row],[InvoiceNo]]&lt;&gt;"","Sir/Ma'am","")</f>
        <v/>
      </c>
      <c r="L67" s="28" t="str" cm="1">
        <f t="array" ref="L67">IF(InvDump[[#This Row],[Company]]&lt;&gt;"",_xlfn.XLOOKUP(InvDump[[#This Row],[Company]]&amp;InvDump[[#This Row],[Location]],CustomerData!B:B&amp;CustomerData!C:C,CustomerData!E:E,"Email Not Maintained"),"")</f>
        <v/>
      </c>
      <c r="M67" s="18" t="str">
        <f>IF(InvDump[[#This Row],[InvoiceNo]]&lt;&gt;"",CustomerData!$G$2,"")</f>
        <v/>
      </c>
      <c r="N67" s="19" t="str">
        <f>IF(InvDump[[#This Row],[InvoiceNo]]&lt;&gt;"",CustomerData!$H$2,"")</f>
        <v/>
      </c>
      <c r="O67" s="28" t="str" cm="1">
        <f t="array" ref="O67">IF(InvDump[[#This Row],[Company]]&lt;&gt;"",_xlfn.XLOOKUP(InvDump[[#This Row],[Company]]&amp;InvDump[[#This Row],[Location]],CustomerData!B:B&amp;CustomerData!C:C,CustomerData!F:F,"Email Not Maintained"),"")</f>
        <v/>
      </c>
      <c r="P67" s="26" t="str">
        <f>IF(InvDump[[#This Row],[InvAmount]]&lt;&gt;"",InvDump[[#This Row],[InvAmount]]*9%,"")</f>
        <v/>
      </c>
      <c r="Q67" s="30" t="str">
        <f>InvDump[[#This Row],[GST1]]</f>
        <v/>
      </c>
      <c r="R67" s="30" t="str">
        <f>IF(InvDump[[#This Row],[InvAmount]]&lt;&gt;"",SUM(InvDump[[#This Row],[InvAmount]:[GST2]]),"")</f>
        <v/>
      </c>
      <c r="S6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7" s="25" t="str" cm="1">
        <f t="array" ref="T67">IFERROR(FindFilePath(InvDump[[#This Row],[Invoice File Name]]&amp;".pdf",ControlPanel!$C$14), "")</f>
        <v/>
      </c>
      <c r="U6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7" s="25" t="str" cm="1">
        <f t="array" ref="V67">IFERROR(FindFilePath(InvDump[[#This Row],[Annexure File Name]]&amp;".pdf",ControlPanel!$C$14), "")</f>
        <v/>
      </c>
    </row>
    <row r="68" spans="1:22" x14ac:dyDescent="0.3">
      <c r="A68" s="41"/>
      <c r="B68" s="43"/>
      <c r="C68" s="44"/>
      <c r="D68" s="41"/>
      <c r="E68" s="41"/>
      <c r="F68" s="46"/>
      <c r="G68" s="47"/>
      <c r="H68" s="47"/>
      <c r="I68" s="41"/>
      <c r="J68" s="41"/>
      <c r="K68" s="18" t="str">
        <f>IF(InvDump[[#This Row],[InvoiceNo]]&lt;&gt;"","Sir/Ma'am","")</f>
        <v/>
      </c>
      <c r="L68" s="28" t="str" cm="1">
        <f t="array" ref="L68">IF(InvDump[[#This Row],[Company]]&lt;&gt;"",_xlfn.XLOOKUP(InvDump[[#This Row],[Company]]&amp;InvDump[[#This Row],[Location]],CustomerData!B:B&amp;CustomerData!C:C,CustomerData!E:E,"Email Not Maintained"),"")</f>
        <v/>
      </c>
      <c r="M68" s="18" t="str">
        <f>IF(InvDump[[#This Row],[InvoiceNo]]&lt;&gt;"",CustomerData!$G$2,"")</f>
        <v/>
      </c>
      <c r="N68" s="19" t="str">
        <f>IF(InvDump[[#This Row],[InvoiceNo]]&lt;&gt;"",CustomerData!$H$2,"")</f>
        <v/>
      </c>
      <c r="O68" s="28" t="str" cm="1">
        <f t="array" ref="O68">IF(InvDump[[#This Row],[Company]]&lt;&gt;"",_xlfn.XLOOKUP(InvDump[[#This Row],[Company]]&amp;InvDump[[#This Row],[Location]],CustomerData!B:B&amp;CustomerData!C:C,CustomerData!F:F,"Email Not Maintained"),"")</f>
        <v/>
      </c>
      <c r="P68" s="26" t="str">
        <f>IF(InvDump[[#This Row],[InvAmount]]&lt;&gt;"",InvDump[[#This Row],[InvAmount]]*9%,"")</f>
        <v/>
      </c>
      <c r="Q68" s="30" t="str">
        <f>InvDump[[#This Row],[GST1]]</f>
        <v/>
      </c>
      <c r="R68" s="30" t="str">
        <f>IF(InvDump[[#This Row],[InvAmount]]&lt;&gt;"",SUM(InvDump[[#This Row],[InvAmount]:[GST2]]),"")</f>
        <v/>
      </c>
      <c r="S6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8" s="25" t="str" cm="1">
        <f t="array" ref="T68">IFERROR(FindFilePath(InvDump[[#This Row],[Invoice File Name]]&amp;".pdf",ControlPanel!$C$14), "")</f>
        <v/>
      </c>
      <c r="U6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8" s="25" t="str" cm="1">
        <f t="array" ref="V68">IFERROR(FindFilePath(InvDump[[#This Row],[Annexure File Name]]&amp;".pdf",ControlPanel!$C$14), "")</f>
        <v/>
      </c>
    </row>
    <row r="69" spans="1:22" x14ac:dyDescent="0.3">
      <c r="A69" s="41"/>
      <c r="B69" s="43"/>
      <c r="C69" s="44"/>
      <c r="D69" s="41"/>
      <c r="E69" s="41"/>
      <c r="F69" s="46"/>
      <c r="G69" s="47"/>
      <c r="H69" s="47"/>
      <c r="I69" s="41"/>
      <c r="J69" s="41"/>
      <c r="K69" s="18" t="str">
        <f>IF(InvDump[[#This Row],[InvoiceNo]]&lt;&gt;"","Sir/Ma'am","")</f>
        <v/>
      </c>
      <c r="L69" s="28" t="str" cm="1">
        <f t="array" ref="L69">IF(InvDump[[#This Row],[Company]]&lt;&gt;"",_xlfn.XLOOKUP(InvDump[[#This Row],[Company]]&amp;InvDump[[#This Row],[Location]],CustomerData!B:B&amp;CustomerData!C:C,CustomerData!E:E,"Email Not Maintained"),"")</f>
        <v/>
      </c>
      <c r="M69" s="18" t="str">
        <f>IF(InvDump[[#This Row],[InvoiceNo]]&lt;&gt;"",CustomerData!$G$2,"")</f>
        <v/>
      </c>
      <c r="N69" s="19" t="str">
        <f>IF(InvDump[[#This Row],[InvoiceNo]]&lt;&gt;"",CustomerData!$H$2,"")</f>
        <v/>
      </c>
      <c r="O69" s="28" t="str" cm="1">
        <f t="array" ref="O69">IF(InvDump[[#This Row],[Company]]&lt;&gt;"",_xlfn.XLOOKUP(InvDump[[#This Row],[Company]]&amp;InvDump[[#This Row],[Location]],CustomerData!B:B&amp;CustomerData!C:C,CustomerData!F:F,"Email Not Maintained"),"")</f>
        <v/>
      </c>
      <c r="P69" s="26" t="str">
        <f>IF(InvDump[[#This Row],[InvAmount]]&lt;&gt;"",InvDump[[#This Row],[InvAmount]]*9%,"")</f>
        <v/>
      </c>
      <c r="Q69" s="30" t="str">
        <f>InvDump[[#This Row],[GST1]]</f>
        <v/>
      </c>
      <c r="R69" s="30" t="str">
        <f>IF(InvDump[[#This Row],[InvAmount]]&lt;&gt;"",SUM(InvDump[[#This Row],[InvAmount]:[GST2]]),"")</f>
        <v/>
      </c>
      <c r="S6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69" s="25" t="str" cm="1">
        <f t="array" ref="T69">IFERROR(FindFilePath(InvDump[[#This Row],[Invoice File Name]]&amp;".pdf",ControlPanel!$C$14), "")</f>
        <v/>
      </c>
      <c r="U6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69" s="25" t="str" cm="1">
        <f t="array" ref="V69">IFERROR(FindFilePath(InvDump[[#This Row],[Annexure File Name]]&amp;".pdf",ControlPanel!$C$14), "")</f>
        <v/>
      </c>
    </row>
    <row r="70" spans="1:22" x14ac:dyDescent="0.3">
      <c r="A70" s="41"/>
      <c r="B70" s="43"/>
      <c r="C70" s="44"/>
      <c r="D70" s="41"/>
      <c r="E70" s="41"/>
      <c r="F70" s="46"/>
      <c r="G70" s="47"/>
      <c r="H70" s="47"/>
      <c r="I70" s="41"/>
      <c r="J70" s="41"/>
      <c r="K70" s="18" t="str">
        <f>IF(InvDump[[#This Row],[InvoiceNo]]&lt;&gt;"","Sir/Ma'am","")</f>
        <v/>
      </c>
      <c r="L70" s="28" t="str" cm="1">
        <f t="array" ref="L70">IF(InvDump[[#This Row],[Company]]&lt;&gt;"",_xlfn.XLOOKUP(InvDump[[#This Row],[Company]]&amp;InvDump[[#This Row],[Location]],CustomerData!B:B&amp;CustomerData!C:C,CustomerData!E:E,"Email Not Maintained"),"")</f>
        <v/>
      </c>
      <c r="M70" s="18" t="str">
        <f>IF(InvDump[[#This Row],[InvoiceNo]]&lt;&gt;"",CustomerData!$G$2,"")</f>
        <v/>
      </c>
      <c r="N70" s="19" t="str">
        <f>IF(InvDump[[#This Row],[InvoiceNo]]&lt;&gt;"",CustomerData!$H$2,"")</f>
        <v/>
      </c>
      <c r="O70" s="28" t="str" cm="1">
        <f t="array" ref="O70">IF(InvDump[[#This Row],[Company]]&lt;&gt;"",_xlfn.XLOOKUP(InvDump[[#This Row],[Company]]&amp;InvDump[[#This Row],[Location]],CustomerData!B:B&amp;CustomerData!C:C,CustomerData!F:F,"Email Not Maintained"),"")</f>
        <v/>
      </c>
      <c r="P70" s="26" t="str">
        <f>IF(InvDump[[#This Row],[InvAmount]]&lt;&gt;"",InvDump[[#This Row],[InvAmount]]*9%,"")</f>
        <v/>
      </c>
      <c r="Q70" s="30" t="str">
        <f>InvDump[[#This Row],[GST1]]</f>
        <v/>
      </c>
      <c r="R70" s="30" t="str">
        <f>IF(InvDump[[#This Row],[InvAmount]]&lt;&gt;"",SUM(InvDump[[#This Row],[InvAmount]:[GST2]]),"")</f>
        <v/>
      </c>
      <c r="S7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0" s="25" t="str" cm="1">
        <f t="array" ref="T70">IFERROR(FindFilePath(InvDump[[#This Row],[Invoice File Name]]&amp;".pdf",ControlPanel!$C$14), "")</f>
        <v/>
      </c>
      <c r="U7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0" s="25" t="str" cm="1">
        <f t="array" ref="V70">IFERROR(FindFilePath(InvDump[[#This Row],[Annexure File Name]]&amp;".pdf",ControlPanel!$C$14), "")</f>
        <v/>
      </c>
    </row>
    <row r="71" spans="1:22" x14ac:dyDescent="0.3">
      <c r="A71" s="41"/>
      <c r="B71" s="43"/>
      <c r="C71" s="44"/>
      <c r="D71" s="41"/>
      <c r="E71" s="41"/>
      <c r="F71" s="46"/>
      <c r="G71" s="47"/>
      <c r="H71" s="47"/>
      <c r="I71" s="41"/>
      <c r="J71" s="41"/>
      <c r="K71" s="18" t="str">
        <f>IF(InvDump[[#This Row],[InvoiceNo]]&lt;&gt;"","Sir/Ma'am","")</f>
        <v/>
      </c>
      <c r="L71" s="28" t="str" cm="1">
        <f t="array" ref="L71">IF(InvDump[[#This Row],[Company]]&lt;&gt;"",_xlfn.XLOOKUP(InvDump[[#This Row],[Company]]&amp;InvDump[[#This Row],[Location]],CustomerData!B:B&amp;CustomerData!C:C,CustomerData!E:E,"Email Not Maintained"),"")</f>
        <v/>
      </c>
      <c r="M71" s="18" t="str">
        <f>IF(InvDump[[#This Row],[InvoiceNo]]&lt;&gt;"",CustomerData!$G$2,"")</f>
        <v/>
      </c>
      <c r="N71" s="19" t="str">
        <f>IF(InvDump[[#This Row],[InvoiceNo]]&lt;&gt;"",CustomerData!$H$2,"")</f>
        <v/>
      </c>
      <c r="O71" s="28" t="str" cm="1">
        <f t="array" ref="O71">IF(InvDump[[#This Row],[Company]]&lt;&gt;"",_xlfn.XLOOKUP(InvDump[[#This Row],[Company]]&amp;InvDump[[#This Row],[Location]],CustomerData!B:B&amp;CustomerData!C:C,CustomerData!F:F,"Email Not Maintained"),"")</f>
        <v/>
      </c>
      <c r="P71" s="26" t="str">
        <f>IF(InvDump[[#This Row],[InvAmount]]&lt;&gt;"",InvDump[[#This Row],[InvAmount]]*9%,"")</f>
        <v/>
      </c>
      <c r="Q71" s="30" t="str">
        <f>InvDump[[#This Row],[GST1]]</f>
        <v/>
      </c>
      <c r="R71" s="30" t="str">
        <f>IF(InvDump[[#This Row],[InvAmount]]&lt;&gt;"",SUM(InvDump[[#This Row],[InvAmount]:[GST2]]),"")</f>
        <v/>
      </c>
      <c r="S7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1" s="25" t="str" cm="1">
        <f t="array" ref="T71">IFERROR(FindFilePath(InvDump[[#This Row],[Invoice File Name]]&amp;".pdf",ControlPanel!$C$14), "")</f>
        <v/>
      </c>
      <c r="U7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1" s="25" t="str" cm="1">
        <f t="array" ref="V71">IFERROR(FindFilePath(InvDump[[#This Row],[Annexure File Name]]&amp;".pdf",ControlPanel!$C$14), "")</f>
        <v/>
      </c>
    </row>
    <row r="72" spans="1:22" x14ac:dyDescent="0.3">
      <c r="A72" s="41"/>
      <c r="B72" s="43"/>
      <c r="C72" s="44"/>
      <c r="D72" s="41"/>
      <c r="E72" s="41"/>
      <c r="F72" s="46"/>
      <c r="G72" s="47"/>
      <c r="H72" s="47"/>
      <c r="I72" s="41"/>
      <c r="J72" s="41"/>
      <c r="K72" s="18" t="str">
        <f>IF(InvDump[[#This Row],[InvoiceNo]]&lt;&gt;"","Sir/Ma'am","")</f>
        <v/>
      </c>
      <c r="L72" s="28" t="str" cm="1">
        <f t="array" ref="L72">IF(InvDump[[#This Row],[Company]]&lt;&gt;"",_xlfn.XLOOKUP(InvDump[[#This Row],[Company]]&amp;InvDump[[#This Row],[Location]],CustomerData!B:B&amp;CustomerData!C:C,CustomerData!E:E,"Email Not Maintained"),"")</f>
        <v/>
      </c>
      <c r="M72" s="18" t="str">
        <f>IF(InvDump[[#This Row],[InvoiceNo]]&lt;&gt;"",CustomerData!$G$2,"")</f>
        <v/>
      </c>
      <c r="N72" s="19" t="str">
        <f>IF(InvDump[[#This Row],[InvoiceNo]]&lt;&gt;"",CustomerData!$H$2,"")</f>
        <v/>
      </c>
      <c r="O72" s="28" t="str" cm="1">
        <f t="array" ref="O72">IF(InvDump[[#This Row],[Company]]&lt;&gt;"",_xlfn.XLOOKUP(InvDump[[#This Row],[Company]]&amp;InvDump[[#This Row],[Location]],CustomerData!B:B&amp;CustomerData!C:C,CustomerData!F:F,"Email Not Maintained"),"")</f>
        <v/>
      </c>
      <c r="P72" s="26" t="str">
        <f>IF(InvDump[[#This Row],[InvAmount]]&lt;&gt;"",InvDump[[#This Row],[InvAmount]]*9%,"")</f>
        <v/>
      </c>
      <c r="Q72" s="30" t="str">
        <f>InvDump[[#This Row],[GST1]]</f>
        <v/>
      </c>
      <c r="R72" s="30" t="str">
        <f>IF(InvDump[[#This Row],[InvAmount]]&lt;&gt;"",SUM(InvDump[[#This Row],[InvAmount]:[GST2]]),"")</f>
        <v/>
      </c>
      <c r="S7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2" s="25" t="str" cm="1">
        <f t="array" ref="T72">IFERROR(FindFilePath(InvDump[[#This Row],[Invoice File Name]]&amp;".pdf",ControlPanel!$C$14), "")</f>
        <v/>
      </c>
      <c r="U7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2" s="25" t="str" cm="1">
        <f t="array" ref="V72">IFERROR(FindFilePath(InvDump[[#This Row],[Annexure File Name]]&amp;".pdf",ControlPanel!$C$14), "")</f>
        <v/>
      </c>
    </row>
    <row r="73" spans="1:22" x14ac:dyDescent="0.3">
      <c r="A73" s="41"/>
      <c r="B73" s="43"/>
      <c r="C73" s="44"/>
      <c r="D73" s="41"/>
      <c r="E73" s="41"/>
      <c r="F73" s="46"/>
      <c r="G73" s="47"/>
      <c r="H73" s="47"/>
      <c r="I73" s="41"/>
      <c r="J73" s="41"/>
      <c r="K73" s="18" t="str">
        <f>IF(InvDump[[#This Row],[InvoiceNo]]&lt;&gt;"","Sir/Ma'am","")</f>
        <v/>
      </c>
      <c r="L73" s="28" t="str" cm="1">
        <f t="array" ref="L73">IF(InvDump[[#This Row],[Company]]&lt;&gt;"",_xlfn.XLOOKUP(InvDump[[#This Row],[Company]]&amp;InvDump[[#This Row],[Location]],CustomerData!B:B&amp;CustomerData!C:C,CustomerData!E:E,"Email Not Maintained"),"")</f>
        <v/>
      </c>
      <c r="M73" s="18" t="str">
        <f>IF(InvDump[[#This Row],[InvoiceNo]]&lt;&gt;"",CustomerData!$G$2,"")</f>
        <v/>
      </c>
      <c r="N73" s="19" t="str">
        <f>IF(InvDump[[#This Row],[InvoiceNo]]&lt;&gt;"",CustomerData!$H$2,"")</f>
        <v/>
      </c>
      <c r="O73" s="28" t="str" cm="1">
        <f t="array" ref="O73">IF(InvDump[[#This Row],[Company]]&lt;&gt;"",_xlfn.XLOOKUP(InvDump[[#This Row],[Company]]&amp;InvDump[[#This Row],[Location]],CustomerData!B:B&amp;CustomerData!C:C,CustomerData!F:F,"Email Not Maintained"),"")</f>
        <v/>
      </c>
      <c r="P73" s="26" t="str">
        <f>IF(InvDump[[#This Row],[InvAmount]]&lt;&gt;"",InvDump[[#This Row],[InvAmount]]*9%,"")</f>
        <v/>
      </c>
      <c r="Q73" s="30" t="str">
        <f>InvDump[[#This Row],[GST1]]</f>
        <v/>
      </c>
      <c r="R73" s="30" t="str">
        <f>IF(InvDump[[#This Row],[InvAmount]]&lt;&gt;"",SUM(InvDump[[#This Row],[InvAmount]:[GST2]]),"")</f>
        <v/>
      </c>
      <c r="S7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3" s="25" t="str" cm="1">
        <f t="array" ref="T73">IFERROR(FindFilePath(InvDump[[#This Row],[Invoice File Name]]&amp;".pdf",ControlPanel!$C$14), "")</f>
        <v/>
      </c>
      <c r="U7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3" s="25" t="str" cm="1">
        <f t="array" ref="V73">IFERROR(FindFilePath(InvDump[[#This Row],[Annexure File Name]]&amp;".pdf",ControlPanel!$C$14), "")</f>
        <v/>
      </c>
    </row>
    <row r="74" spans="1:22" x14ac:dyDescent="0.3">
      <c r="A74" s="41"/>
      <c r="B74" s="43"/>
      <c r="C74" s="44"/>
      <c r="D74" s="41"/>
      <c r="E74" s="41"/>
      <c r="F74" s="46"/>
      <c r="G74" s="47"/>
      <c r="H74" s="47"/>
      <c r="I74" s="41"/>
      <c r="J74" s="41"/>
      <c r="K74" s="18" t="str">
        <f>IF(InvDump[[#This Row],[InvoiceNo]]&lt;&gt;"","Sir/Ma'am","")</f>
        <v/>
      </c>
      <c r="L74" s="28" t="str" cm="1">
        <f t="array" ref="L74">IF(InvDump[[#This Row],[Company]]&lt;&gt;"",_xlfn.XLOOKUP(InvDump[[#This Row],[Company]]&amp;InvDump[[#This Row],[Location]],CustomerData!B:B&amp;CustomerData!C:C,CustomerData!E:E,"Email Not Maintained"),"")</f>
        <v/>
      </c>
      <c r="M74" s="18" t="str">
        <f>IF(InvDump[[#This Row],[InvoiceNo]]&lt;&gt;"",CustomerData!$G$2,"")</f>
        <v/>
      </c>
      <c r="N74" s="19" t="str">
        <f>IF(InvDump[[#This Row],[InvoiceNo]]&lt;&gt;"",CustomerData!$H$2,"")</f>
        <v/>
      </c>
      <c r="O74" s="28" t="str" cm="1">
        <f t="array" ref="O74">IF(InvDump[[#This Row],[Company]]&lt;&gt;"",_xlfn.XLOOKUP(InvDump[[#This Row],[Company]]&amp;InvDump[[#This Row],[Location]],CustomerData!B:B&amp;CustomerData!C:C,CustomerData!F:F,"Email Not Maintained"),"")</f>
        <v/>
      </c>
      <c r="P74" s="26" t="str">
        <f>IF(InvDump[[#This Row],[InvAmount]]&lt;&gt;"",InvDump[[#This Row],[InvAmount]]*9%,"")</f>
        <v/>
      </c>
      <c r="Q74" s="30" t="str">
        <f>InvDump[[#This Row],[GST1]]</f>
        <v/>
      </c>
      <c r="R74" s="30" t="str">
        <f>IF(InvDump[[#This Row],[InvAmount]]&lt;&gt;"",SUM(InvDump[[#This Row],[InvAmount]:[GST2]]),"")</f>
        <v/>
      </c>
      <c r="S7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4" s="25" t="str" cm="1">
        <f t="array" ref="T74">IFERROR(FindFilePath(InvDump[[#This Row],[Invoice File Name]]&amp;".pdf",ControlPanel!$C$14), "")</f>
        <v/>
      </c>
      <c r="U7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4" s="25" t="str" cm="1">
        <f t="array" ref="V74">IFERROR(FindFilePath(InvDump[[#This Row],[Annexure File Name]]&amp;".pdf",ControlPanel!$C$14), "")</f>
        <v/>
      </c>
    </row>
    <row r="75" spans="1:22" x14ac:dyDescent="0.3">
      <c r="A75" s="41"/>
      <c r="B75" s="43"/>
      <c r="C75" s="44"/>
      <c r="D75" s="41"/>
      <c r="E75" s="41"/>
      <c r="F75" s="46"/>
      <c r="G75" s="47"/>
      <c r="H75" s="47"/>
      <c r="I75" s="41"/>
      <c r="J75" s="41"/>
      <c r="K75" s="18" t="str">
        <f>IF(InvDump[[#This Row],[InvoiceNo]]&lt;&gt;"","Sir/Ma'am","")</f>
        <v/>
      </c>
      <c r="L75" s="28" t="str" cm="1">
        <f t="array" ref="L75">IF(InvDump[[#This Row],[Company]]&lt;&gt;"",_xlfn.XLOOKUP(InvDump[[#This Row],[Company]]&amp;InvDump[[#This Row],[Location]],CustomerData!B:B&amp;CustomerData!C:C,CustomerData!E:E,"Email Not Maintained"),"")</f>
        <v/>
      </c>
      <c r="M75" s="18" t="str">
        <f>IF(InvDump[[#This Row],[InvoiceNo]]&lt;&gt;"",CustomerData!$G$2,"")</f>
        <v/>
      </c>
      <c r="N75" s="19"/>
      <c r="O75" s="28" t="str" cm="1">
        <f t="array" ref="O75">IF(InvDump[[#This Row],[Company]]&lt;&gt;"",_xlfn.XLOOKUP(InvDump[[#This Row],[Company]]&amp;InvDump[[#This Row],[Location]],CustomerData!B:B&amp;CustomerData!C:C,CustomerData!F:F,"Email Not Maintained"),"")</f>
        <v/>
      </c>
      <c r="P75" s="27" t="str">
        <f>IF(InvDump[[#This Row],[InvAmount]]&lt;&gt;"",InvDump[[#This Row],[InvAmount]]*9%,"")</f>
        <v/>
      </c>
      <c r="Q75" s="29" t="str">
        <f>InvDump[[#This Row],[GST1]]</f>
        <v/>
      </c>
      <c r="R75" s="29" t="str">
        <f>IF(InvDump[[#This Row],[InvAmount]]&lt;&gt;"",SUM(InvDump[[#This Row],[InvAmount]:[GST2]]),"")</f>
        <v/>
      </c>
      <c r="S7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5" s="25" t="str" cm="1">
        <f t="array" ref="T75">IFERROR(FindFilePath(InvDump[[#This Row],[Invoice File Name]]&amp;".pdf",ControlPanel!$C$14), "")</f>
        <v/>
      </c>
      <c r="U7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5" s="25" t="str" cm="1">
        <f t="array" ref="V75">IFERROR(FindFilePath(InvDump[[#This Row],[Annexure File Name]]&amp;".pdf",ControlPanel!$C$14), "")</f>
        <v/>
      </c>
    </row>
    <row r="76" spans="1:22" x14ac:dyDescent="0.3">
      <c r="A76" s="41"/>
      <c r="B76" s="43"/>
      <c r="C76" s="44"/>
      <c r="D76" s="41"/>
      <c r="E76" s="41"/>
      <c r="F76" s="46"/>
      <c r="G76" s="47"/>
      <c r="H76" s="47"/>
      <c r="I76" s="41"/>
      <c r="J76" s="41"/>
      <c r="K76" s="18" t="str">
        <f>IF(InvDump[[#This Row],[InvoiceNo]]&lt;&gt;"","Sir/Ma'am","")</f>
        <v/>
      </c>
      <c r="L76" s="28" t="str" cm="1">
        <f t="array" ref="L76">IF(InvDump[[#This Row],[Company]]&lt;&gt;"",_xlfn.XLOOKUP(InvDump[[#This Row],[Company]]&amp;InvDump[[#This Row],[Location]],CustomerData!B:B&amp;CustomerData!C:C,CustomerData!E:E,"Email Not Maintained"),"")</f>
        <v/>
      </c>
      <c r="M76" s="18" t="str">
        <f>IF(InvDump[[#This Row],[InvoiceNo]]&lt;&gt;"",CustomerData!$G$2,"")</f>
        <v/>
      </c>
      <c r="N76" s="19"/>
      <c r="O76" s="28" t="str" cm="1">
        <f t="array" ref="O76">IF(InvDump[[#This Row],[Company]]&lt;&gt;"",_xlfn.XLOOKUP(InvDump[[#This Row],[Company]]&amp;InvDump[[#This Row],[Location]],CustomerData!B:B&amp;CustomerData!C:C,CustomerData!F:F,"Email Not Maintained"),"")</f>
        <v/>
      </c>
      <c r="P76" s="27" t="str">
        <f>IF(InvDump[[#This Row],[InvAmount]]&lt;&gt;"",InvDump[[#This Row],[InvAmount]]*9%,"")</f>
        <v/>
      </c>
      <c r="Q76" s="29" t="str">
        <f>InvDump[[#This Row],[GST1]]</f>
        <v/>
      </c>
      <c r="R76" s="29" t="str">
        <f>IF(InvDump[[#This Row],[InvAmount]]&lt;&gt;"",SUM(InvDump[[#This Row],[InvAmount]:[GST2]]),"")</f>
        <v/>
      </c>
      <c r="S7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6" s="25" t="str" cm="1">
        <f t="array" ref="T76">IFERROR(FindFilePath(InvDump[[#This Row],[Invoice File Name]]&amp;".pdf",ControlPanel!$C$14), "")</f>
        <v/>
      </c>
      <c r="U7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6" s="25" t="str" cm="1">
        <f t="array" ref="V76">IFERROR(FindFilePath(InvDump[[#This Row],[Annexure File Name]]&amp;".pdf",ControlPanel!$C$14), "")</f>
        <v/>
      </c>
    </row>
    <row r="77" spans="1:22" x14ac:dyDescent="0.3">
      <c r="A77" s="41"/>
      <c r="B77" s="43"/>
      <c r="C77" s="44"/>
      <c r="D77" s="41"/>
      <c r="E77" s="41"/>
      <c r="F77" s="46"/>
      <c r="G77" s="47"/>
      <c r="H77" s="47"/>
      <c r="I77" s="41"/>
      <c r="J77" s="41"/>
      <c r="K77" s="18" t="str">
        <f>IF(InvDump[[#This Row],[InvoiceNo]]&lt;&gt;"","Sir/Ma'am","")</f>
        <v/>
      </c>
      <c r="L77" s="28" t="str" cm="1">
        <f t="array" ref="L77">IF(InvDump[[#This Row],[Company]]&lt;&gt;"",_xlfn.XLOOKUP(InvDump[[#This Row],[Company]]&amp;InvDump[[#This Row],[Location]],CustomerData!B:B&amp;CustomerData!C:C,CustomerData!E:E,"Email Not Maintained"),"")</f>
        <v/>
      </c>
      <c r="M77" s="18" t="str">
        <f>IF(InvDump[[#This Row],[InvoiceNo]]&lt;&gt;"",CustomerData!$G$2,"")</f>
        <v/>
      </c>
      <c r="N77" s="19"/>
      <c r="O77" s="28" t="str" cm="1">
        <f t="array" ref="O77">IF(InvDump[[#This Row],[Company]]&lt;&gt;"",_xlfn.XLOOKUP(InvDump[[#This Row],[Company]]&amp;InvDump[[#This Row],[Location]],CustomerData!B:B&amp;CustomerData!C:C,CustomerData!F:F,"Email Not Maintained"),"")</f>
        <v/>
      </c>
      <c r="P77" s="27" t="str">
        <f>IF(InvDump[[#This Row],[InvAmount]]&lt;&gt;"",InvDump[[#This Row],[InvAmount]]*9%,"")</f>
        <v/>
      </c>
      <c r="Q77" s="29" t="str">
        <f>InvDump[[#This Row],[GST1]]</f>
        <v/>
      </c>
      <c r="R77" s="29" t="str">
        <f>IF(InvDump[[#This Row],[InvAmount]]&lt;&gt;"",SUM(InvDump[[#This Row],[InvAmount]:[GST2]]),"")</f>
        <v/>
      </c>
      <c r="S77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7" s="25" t="str" cm="1">
        <f t="array" ref="T77">IFERROR(FindFilePath(InvDump[[#This Row],[Invoice File Name]]&amp;".pdf",ControlPanel!$C$14), "")</f>
        <v/>
      </c>
      <c r="U77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7" s="25" t="str" cm="1">
        <f t="array" ref="V77">IFERROR(FindFilePath(InvDump[[#This Row],[Annexure File Name]]&amp;".pdf",ControlPanel!$C$14), "")</f>
        <v/>
      </c>
    </row>
    <row r="78" spans="1:22" x14ac:dyDescent="0.3">
      <c r="A78" s="41"/>
      <c r="B78" s="43"/>
      <c r="C78" s="44"/>
      <c r="D78" s="41"/>
      <c r="E78" s="41"/>
      <c r="F78" s="46"/>
      <c r="G78" s="47"/>
      <c r="H78" s="47"/>
      <c r="I78" s="41"/>
      <c r="J78" s="41"/>
      <c r="K78" s="18" t="str">
        <f>IF(InvDump[[#This Row],[InvoiceNo]]&lt;&gt;"","Sir/Ma'am","")</f>
        <v/>
      </c>
      <c r="L78" s="28" t="str" cm="1">
        <f t="array" ref="L78">IF(InvDump[[#This Row],[Company]]&lt;&gt;"",_xlfn.XLOOKUP(InvDump[[#This Row],[Company]]&amp;InvDump[[#This Row],[Location]],CustomerData!B:B&amp;CustomerData!C:C,CustomerData!E:E,"Email Not Maintained"),"")</f>
        <v/>
      </c>
      <c r="M78" s="18" t="str">
        <f>IF(InvDump[[#This Row],[InvoiceNo]]&lt;&gt;"",CustomerData!$G$2,"")</f>
        <v/>
      </c>
      <c r="N78" s="19"/>
      <c r="O78" s="28" t="str" cm="1">
        <f t="array" ref="O78">IF(InvDump[[#This Row],[Company]]&lt;&gt;"",_xlfn.XLOOKUP(InvDump[[#This Row],[Company]]&amp;InvDump[[#This Row],[Location]],CustomerData!B:B&amp;CustomerData!C:C,CustomerData!F:F,"Email Not Maintained"),"")</f>
        <v/>
      </c>
      <c r="P78" s="27" t="str">
        <f>IF(InvDump[[#This Row],[InvAmount]]&lt;&gt;"",InvDump[[#This Row],[InvAmount]]*9%,"")</f>
        <v/>
      </c>
      <c r="Q78" s="29" t="str">
        <f>InvDump[[#This Row],[GST1]]</f>
        <v/>
      </c>
      <c r="R78" s="29" t="str">
        <f>IF(InvDump[[#This Row],[InvAmount]]&lt;&gt;"",SUM(InvDump[[#This Row],[InvAmount]:[GST2]]),"")</f>
        <v/>
      </c>
      <c r="S78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8" s="25" t="str" cm="1">
        <f t="array" ref="T78">IFERROR(FindFilePath(InvDump[[#This Row],[Invoice File Name]]&amp;".pdf",ControlPanel!$C$14), "")</f>
        <v/>
      </c>
      <c r="U78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8" s="25" t="str" cm="1">
        <f t="array" ref="V78">IFERROR(FindFilePath(InvDump[[#This Row],[Annexure File Name]]&amp;".pdf",ControlPanel!$C$14), "")</f>
        <v/>
      </c>
    </row>
    <row r="79" spans="1:22" x14ac:dyDescent="0.3">
      <c r="A79" s="41"/>
      <c r="B79" s="43"/>
      <c r="C79" s="44"/>
      <c r="D79" s="41"/>
      <c r="E79" s="41"/>
      <c r="F79" s="46"/>
      <c r="G79" s="47"/>
      <c r="H79" s="47"/>
      <c r="I79" s="41"/>
      <c r="J79" s="41"/>
      <c r="K79" s="18" t="str">
        <f>IF(InvDump[[#This Row],[InvoiceNo]]&lt;&gt;"","Sir/Ma'am","")</f>
        <v/>
      </c>
      <c r="L79" s="28" t="str" cm="1">
        <f t="array" ref="L79">IF(InvDump[[#This Row],[Company]]&lt;&gt;"",_xlfn.XLOOKUP(InvDump[[#This Row],[Company]]&amp;InvDump[[#This Row],[Location]],CustomerData!B:B&amp;CustomerData!C:C,CustomerData!E:E,"Email Not Maintained"),"")</f>
        <v/>
      </c>
      <c r="M79" s="18" t="str">
        <f>IF(InvDump[[#This Row],[InvoiceNo]]&lt;&gt;"",CustomerData!$G$2,"")</f>
        <v/>
      </c>
      <c r="N79" s="19"/>
      <c r="O79" s="28" t="str" cm="1">
        <f t="array" ref="O79">IF(InvDump[[#This Row],[Company]]&lt;&gt;"",_xlfn.XLOOKUP(InvDump[[#This Row],[Company]]&amp;InvDump[[#This Row],[Location]],CustomerData!B:B&amp;CustomerData!C:C,CustomerData!F:F,"Email Not Maintained"),"")</f>
        <v/>
      </c>
      <c r="P79" s="27" t="str">
        <f>IF(InvDump[[#This Row],[InvAmount]]&lt;&gt;"",InvDump[[#This Row],[InvAmount]]*9%,"")</f>
        <v/>
      </c>
      <c r="Q79" s="29" t="str">
        <f>InvDump[[#This Row],[GST1]]</f>
        <v/>
      </c>
      <c r="R79" s="29" t="str">
        <f>IF(InvDump[[#This Row],[InvAmount]]&lt;&gt;"",SUM(InvDump[[#This Row],[InvAmount]:[GST2]]),"")</f>
        <v/>
      </c>
      <c r="S79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79" s="25" t="str" cm="1">
        <f t="array" ref="T79">IFERROR(FindFilePath(InvDump[[#This Row],[Invoice File Name]]&amp;".pdf",ControlPanel!$C$14), "")</f>
        <v/>
      </c>
      <c r="U79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79" s="25" t="str" cm="1">
        <f t="array" ref="V79">IFERROR(FindFilePath(InvDump[[#This Row],[Annexure File Name]]&amp;".pdf",ControlPanel!$C$14), "")</f>
        <v/>
      </c>
    </row>
    <row r="80" spans="1:22" x14ac:dyDescent="0.3">
      <c r="A80" s="41"/>
      <c r="B80" s="43"/>
      <c r="C80" s="44"/>
      <c r="D80" s="41"/>
      <c r="E80" s="41"/>
      <c r="F80" s="46"/>
      <c r="G80" s="47"/>
      <c r="H80" s="47"/>
      <c r="I80" s="41"/>
      <c r="J80" s="41"/>
      <c r="K80" s="18" t="str">
        <f>IF(InvDump[[#This Row],[InvoiceNo]]&lt;&gt;"","Sir/Ma'am","")</f>
        <v/>
      </c>
      <c r="L80" s="28" t="str" cm="1">
        <f t="array" ref="L80">IF(InvDump[[#This Row],[Company]]&lt;&gt;"",_xlfn.XLOOKUP(InvDump[[#This Row],[Company]]&amp;InvDump[[#This Row],[Location]],CustomerData!B:B&amp;CustomerData!C:C,CustomerData!E:E,"Email Not Maintained"),"")</f>
        <v/>
      </c>
      <c r="M80" s="18" t="str">
        <f>IF(InvDump[[#This Row],[InvoiceNo]]&lt;&gt;"",CustomerData!$G$2,"")</f>
        <v/>
      </c>
      <c r="N80" s="19"/>
      <c r="O80" s="28" t="str" cm="1">
        <f t="array" ref="O80">IF(InvDump[[#This Row],[Company]]&lt;&gt;"",_xlfn.XLOOKUP(InvDump[[#This Row],[Company]]&amp;InvDump[[#This Row],[Location]],CustomerData!B:B&amp;CustomerData!C:C,CustomerData!F:F,"Email Not Maintained"),"")</f>
        <v/>
      </c>
      <c r="P80" s="27" t="str">
        <f>IF(InvDump[[#This Row],[InvAmount]]&lt;&gt;"",InvDump[[#This Row],[InvAmount]]*9%,"")</f>
        <v/>
      </c>
      <c r="Q80" s="29" t="str">
        <f>InvDump[[#This Row],[GST1]]</f>
        <v/>
      </c>
      <c r="R80" s="29" t="str">
        <f>IF(InvDump[[#This Row],[InvAmount]]&lt;&gt;"",SUM(InvDump[[#This Row],[InvAmount]:[GST2]]),"")</f>
        <v/>
      </c>
      <c r="S80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0" s="25" t="str" cm="1">
        <f t="array" ref="T80">IFERROR(FindFilePath(InvDump[[#This Row],[Invoice File Name]]&amp;".pdf",ControlPanel!$C$14), "")</f>
        <v/>
      </c>
      <c r="U80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0" s="25" t="str" cm="1">
        <f t="array" ref="V80">IFERROR(FindFilePath(InvDump[[#This Row],[Annexure File Name]]&amp;".pdf",ControlPanel!$C$14), "")</f>
        <v/>
      </c>
    </row>
    <row r="81" spans="1:22" x14ac:dyDescent="0.3">
      <c r="A81" s="41"/>
      <c r="B81" s="43"/>
      <c r="C81" s="44"/>
      <c r="D81" s="41"/>
      <c r="E81" s="41"/>
      <c r="F81" s="46"/>
      <c r="G81" s="47"/>
      <c r="H81" s="47"/>
      <c r="I81" s="41"/>
      <c r="J81" s="41"/>
      <c r="K81" s="18" t="str">
        <f>IF(InvDump[[#This Row],[InvoiceNo]]&lt;&gt;"","Sir/Ma'am","")</f>
        <v/>
      </c>
      <c r="L81" s="28" t="str" cm="1">
        <f t="array" ref="L81">IF(InvDump[[#This Row],[Company]]&lt;&gt;"",_xlfn.XLOOKUP(InvDump[[#This Row],[Company]]&amp;InvDump[[#This Row],[Location]],CustomerData!B:B&amp;CustomerData!C:C,CustomerData!E:E,"Email Not Maintained"),"")</f>
        <v/>
      </c>
      <c r="M81" s="18" t="str">
        <f>IF(InvDump[[#This Row],[InvoiceNo]]&lt;&gt;"",CustomerData!$G$2,"")</f>
        <v/>
      </c>
      <c r="N81" s="19"/>
      <c r="O81" s="28" t="str" cm="1">
        <f t="array" ref="O81">IF(InvDump[[#This Row],[Company]]&lt;&gt;"",_xlfn.XLOOKUP(InvDump[[#This Row],[Company]]&amp;InvDump[[#This Row],[Location]],CustomerData!B:B&amp;CustomerData!C:C,CustomerData!F:F,"Email Not Maintained"),"")</f>
        <v/>
      </c>
      <c r="P81" s="27" t="str">
        <f>IF(InvDump[[#This Row],[InvAmount]]&lt;&gt;"",InvDump[[#This Row],[InvAmount]]*9%,"")</f>
        <v/>
      </c>
      <c r="Q81" s="29" t="str">
        <f>InvDump[[#This Row],[GST1]]</f>
        <v/>
      </c>
      <c r="R81" s="29" t="str">
        <f>IF(InvDump[[#This Row],[InvAmount]]&lt;&gt;"",SUM(InvDump[[#This Row],[InvAmount]:[GST2]]),"")</f>
        <v/>
      </c>
      <c r="S81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1" s="25" t="str" cm="1">
        <f t="array" ref="T81">IFERROR(FindFilePath(InvDump[[#This Row],[Invoice File Name]]&amp;".pdf",ControlPanel!$C$14), "")</f>
        <v/>
      </c>
      <c r="U81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1" s="25" t="str" cm="1">
        <f t="array" ref="V81">IFERROR(FindFilePath(InvDump[[#This Row],[Annexure File Name]]&amp;".pdf",ControlPanel!$C$14), "")</f>
        <v/>
      </c>
    </row>
    <row r="82" spans="1:22" x14ac:dyDescent="0.3">
      <c r="A82" s="41"/>
      <c r="B82" s="43"/>
      <c r="C82" s="44"/>
      <c r="D82" s="41"/>
      <c r="E82" s="41"/>
      <c r="F82" s="46"/>
      <c r="G82" s="47"/>
      <c r="H82" s="47"/>
      <c r="I82" s="41"/>
      <c r="J82" s="41"/>
      <c r="K82" s="18" t="str">
        <f>IF(InvDump[[#This Row],[InvoiceNo]]&lt;&gt;"","Sir/Ma'am","")</f>
        <v/>
      </c>
      <c r="L82" s="28" t="str" cm="1">
        <f t="array" ref="L82">IF(InvDump[[#This Row],[Company]]&lt;&gt;"",_xlfn.XLOOKUP(InvDump[[#This Row],[Company]]&amp;InvDump[[#This Row],[Location]],CustomerData!B:B&amp;CustomerData!C:C,CustomerData!E:E,"Email Not Maintained"),"")</f>
        <v/>
      </c>
      <c r="M82" s="18" t="str">
        <f>IF(InvDump[[#This Row],[InvoiceNo]]&lt;&gt;"",CustomerData!$G$2,"")</f>
        <v/>
      </c>
      <c r="N82" s="19"/>
      <c r="O82" s="28" t="str" cm="1">
        <f t="array" ref="O82">IF(InvDump[[#This Row],[Company]]&lt;&gt;"",_xlfn.XLOOKUP(InvDump[[#This Row],[Company]]&amp;InvDump[[#This Row],[Location]],CustomerData!B:B&amp;CustomerData!C:C,CustomerData!F:F,"Email Not Maintained"),"")</f>
        <v/>
      </c>
      <c r="P82" s="27" t="str">
        <f>IF(InvDump[[#This Row],[InvAmount]]&lt;&gt;"",InvDump[[#This Row],[InvAmount]]*9%,"")</f>
        <v/>
      </c>
      <c r="Q82" s="29" t="str">
        <f>InvDump[[#This Row],[GST1]]</f>
        <v/>
      </c>
      <c r="R82" s="29" t="str">
        <f>IF(InvDump[[#This Row],[InvAmount]]&lt;&gt;"",SUM(InvDump[[#This Row],[InvAmount]:[GST2]]),"")</f>
        <v/>
      </c>
      <c r="S82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2" s="25" t="str" cm="1">
        <f t="array" ref="T82">IFERROR(FindFilePath(InvDump[[#This Row],[Invoice File Name]]&amp;".pdf",ControlPanel!$C$14), "")</f>
        <v/>
      </c>
      <c r="U82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2" s="25" t="str" cm="1">
        <f t="array" ref="V82">IFERROR(FindFilePath(InvDump[[#This Row],[Annexure File Name]]&amp;".pdf",ControlPanel!$C$14), "")</f>
        <v/>
      </c>
    </row>
    <row r="83" spans="1:22" x14ac:dyDescent="0.3">
      <c r="A83" s="41"/>
      <c r="B83" s="43"/>
      <c r="C83" s="44"/>
      <c r="D83" s="41"/>
      <c r="E83" s="41"/>
      <c r="F83" s="46"/>
      <c r="G83" s="47"/>
      <c r="H83" s="47"/>
      <c r="I83" s="41"/>
      <c r="J83" s="41"/>
      <c r="K83" s="18" t="str">
        <f>IF(InvDump[[#This Row],[InvoiceNo]]&lt;&gt;"","Sir/Ma'am","")</f>
        <v/>
      </c>
      <c r="L83" s="28" t="str" cm="1">
        <f t="array" ref="L83">IF(InvDump[[#This Row],[Company]]&lt;&gt;"",_xlfn.XLOOKUP(InvDump[[#This Row],[Company]]&amp;InvDump[[#This Row],[Location]],CustomerData!B:B&amp;CustomerData!C:C,CustomerData!E:E,"Email Not Maintained"),"")</f>
        <v/>
      </c>
      <c r="M83" s="18" t="str">
        <f>IF(InvDump[[#This Row],[InvoiceNo]]&lt;&gt;"",CustomerData!$G$2,"")</f>
        <v/>
      </c>
      <c r="N83" s="19"/>
      <c r="O83" s="28" t="str" cm="1">
        <f t="array" ref="O83">IF(InvDump[[#This Row],[Company]]&lt;&gt;"",_xlfn.XLOOKUP(InvDump[[#This Row],[Company]]&amp;InvDump[[#This Row],[Location]],CustomerData!B:B&amp;CustomerData!C:C,CustomerData!F:F,"Email Not Maintained"),"")</f>
        <v/>
      </c>
      <c r="P83" s="27" t="str">
        <f>IF(InvDump[[#This Row],[InvAmount]]&lt;&gt;"",InvDump[[#This Row],[InvAmount]]*9%,"")</f>
        <v/>
      </c>
      <c r="Q83" s="29" t="str">
        <f>InvDump[[#This Row],[GST1]]</f>
        <v/>
      </c>
      <c r="R83" s="29" t="str">
        <f>IF(InvDump[[#This Row],[InvAmount]]&lt;&gt;"",SUM(InvDump[[#This Row],[InvAmount]:[GST2]]),"")</f>
        <v/>
      </c>
      <c r="S83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3" s="25" t="str" cm="1">
        <f t="array" ref="T83">IFERROR(FindFilePath(InvDump[[#This Row],[Invoice File Name]]&amp;".pdf",ControlPanel!$C$14), "")</f>
        <v/>
      </c>
      <c r="U83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3" s="25" t="str" cm="1">
        <f t="array" ref="V83">IFERROR(FindFilePath(InvDump[[#This Row],[Annexure File Name]]&amp;".pdf",ControlPanel!$C$14), "")</f>
        <v/>
      </c>
    </row>
    <row r="84" spans="1:22" x14ac:dyDescent="0.3">
      <c r="A84" s="41"/>
      <c r="B84" s="43"/>
      <c r="C84" s="44"/>
      <c r="D84" s="41"/>
      <c r="E84" s="41"/>
      <c r="F84" s="46"/>
      <c r="G84" s="47"/>
      <c r="H84" s="47"/>
      <c r="I84" s="41"/>
      <c r="J84" s="41"/>
      <c r="K84" s="18" t="str">
        <f>IF(InvDump[[#This Row],[InvoiceNo]]&lt;&gt;"","Sir/Ma'am","")</f>
        <v/>
      </c>
      <c r="L84" s="28" t="str" cm="1">
        <f t="array" ref="L84">IF(InvDump[[#This Row],[Company]]&lt;&gt;"",_xlfn.XLOOKUP(InvDump[[#This Row],[Company]]&amp;InvDump[[#This Row],[Location]],CustomerData!B:B&amp;CustomerData!C:C,CustomerData!E:E,"Email Not Maintained"),"")</f>
        <v/>
      </c>
      <c r="M84" s="18" t="str">
        <f>IF(InvDump[[#This Row],[InvoiceNo]]&lt;&gt;"",CustomerData!$G$2,"")</f>
        <v/>
      </c>
      <c r="N84" s="19"/>
      <c r="O84" s="28" t="str" cm="1">
        <f t="array" ref="O84">IF(InvDump[[#This Row],[Company]]&lt;&gt;"",_xlfn.XLOOKUP(InvDump[[#This Row],[Company]]&amp;InvDump[[#This Row],[Location]],CustomerData!B:B&amp;CustomerData!C:C,CustomerData!F:F,"Email Not Maintained"),"")</f>
        <v/>
      </c>
      <c r="P84" s="27" t="str">
        <f>IF(InvDump[[#This Row],[InvAmount]]&lt;&gt;"",InvDump[[#This Row],[InvAmount]]*9%,"")</f>
        <v/>
      </c>
      <c r="Q84" s="29" t="str">
        <f>InvDump[[#This Row],[GST1]]</f>
        <v/>
      </c>
      <c r="R84" s="29" t="str">
        <f>IF(InvDump[[#This Row],[InvAmount]]&lt;&gt;"",SUM(InvDump[[#This Row],[InvAmount]:[GST2]]),"")</f>
        <v/>
      </c>
      <c r="S84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4" s="25" t="str" cm="1">
        <f t="array" ref="T84">IFERROR(FindFilePath(InvDump[[#This Row],[Invoice File Name]]&amp;".pdf",ControlPanel!$C$14), "")</f>
        <v/>
      </c>
      <c r="U84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4" s="25" t="str" cm="1">
        <f t="array" ref="V84">IFERROR(FindFilePath(InvDump[[#This Row],[Annexure File Name]]&amp;".pdf",ControlPanel!$C$14), "")</f>
        <v/>
      </c>
    </row>
    <row r="85" spans="1:22" x14ac:dyDescent="0.3">
      <c r="A85" s="41"/>
      <c r="B85" s="43"/>
      <c r="C85" s="44"/>
      <c r="D85" s="41"/>
      <c r="E85" s="41"/>
      <c r="F85" s="46"/>
      <c r="G85" s="47"/>
      <c r="H85" s="47"/>
      <c r="I85" s="41"/>
      <c r="J85" s="41"/>
      <c r="K85" s="18" t="str">
        <f>IF(InvDump[[#This Row],[InvoiceNo]]&lt;&gt;"","Sir/Ma'am","")</f>
        <v/>
      </c>
      <c r="L85" s="28" t="str" cm="1">
        <f t="array" ref="L85">IF(InvDump[[#This Row],[Company]]&lt;&gt;"",_xlfn.XLOOKUP(InvDump[[#This Row],[Company]]&amp;InvDump[[#This Row],[Location]],CustomerData!B:B&amp;CustomerData!C:C,CustomerData!E:E,"Email Not Maintained"),"")</f>
        <v/>
      </c>
      <c r="M85" s="18" t="str">
        <f>IF(InvDump[[#This Row],[InvoiceNo]]&lt;&gt;"",CustomerData!$G$2,"")</f>
        <v/>
      </c>
      <c r="N85" s="19"/>
      <c r="O85" s="28" t="str" cm="1">
        <f t="array" ref="O85">IF(InvDump[[#This Row],[Company]]&lt;&gt;"",_xlfn.XLOOKUP(InvDump[[#This Row],[Company]]&amp;InvDump[[#This Row],[Location]],CustomerData!B:B&amp;CustomerData!C:C,CustomerData!F:F,"Email Not Maintained"),"")</f>
        <v/>
      </c>
      <c r="P85" s="27" t="str">
        <f>IF(InvDump[[#This Row],[InvAmount]]&lt;&gt;"",InvDump[[#This Row],[InvAmount]]*9%,"")</f>
        <v/>
      </c>
      <c r="Q85" s="29" t="str">
        <f>InvDump[[#This Row],[GST1]]</f>
        <v/>
      </c>
      <c r="R85" s="29" t="str">
        <f>IF(InvDump[[#This Row],[InvAmount]]&lt;&gt;"",SUM(InvDump[[#This Row],[InvAmount]:[GST2]]),"")</f>
        <v/>
      </c>
      <c r="S85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5" s="25" t="str" cm="1">
        <f t="array" ref="T85">IFERROR(FindFilePath(InvDump[[#This Row],[Invoice File Name]]&amp;".pdf",ControlPanel!$C$14), "")</f>
        <v/>
      </c>
      <c r="U85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5" s="25" t="str" cm="1">
        <f t="array" ref="V85">IFERROR(FindFilePath(InvDump[[#This Row],[Annexure File Name]]&amp;".pdf",ControlPanel!$C$14), "")</f>
        <v/>
      </c>
    </row>
    <row r="86" spans="1:22" x14ac:dyDescent="0.3">
      <c r="A86" s="41"/>
      <c r="B86" s="43"/>
      <c r="C86" s="44"/>
      <c r="D86" s="41"/>
      <c r="E86" s="41"/>
      <c r="F86" s="46"/>
      <c r="G86" s="47"/>
      <c r="H86" s="47"/>
      <c r="I86" s="41"/>
      <c r="J86" s="41"/>
      <c r="K86" s="18" t="str">
        <f>IF(InvDump[[#This Row],[InvoiceNo]]&lt;&gt;"","Sir/Ma'am","")</f>
        <v/>
      </c>
      <c r="L86" s="28" t="str" cm="1">
        <f t="array" ref="L86">IF(InvDump[[#This Row],[Company]]&lt;&gt;"",_xlfn.XLOOKUP(InvDump[[#This Row],[Company]]&amp;InvDump[[#This Row],[Location]],CustomerData!B:B&amp;CustomerData!C:C,CustomerData!E:E,"Email Not Maintained"),"")</f>
        <v/>
      </c>
      <c r="M86" s="18" t="str">
        <f>IF(InvDump[[#This Row],[InvoiceNo]]&lt;&gt;"",CustomerData!$G$2,"")</f>
        <v/>
      </c>
      <c r="N86" s="19"/>
      <c r="O86" s="28" t="str" cm="1">
        <f t="array" ref="O86">IF(InvDump[[#This Row],[Company]]&lt;&gt;"",_xlfn.XLOOKUP(InvDump[[#This Row],[Company]]&amp;InvDump[[#This Row],[Location]],CustomerData!B:B&amp;CustomerData!C:C,CustomerData!F:F,"Email Not Maintained"),"")</f>
        <v/>
      </c>
      <c r="P86" s="27" t="str">
        <f>IF(InvDump[[#This Row],[InvAmount]]&lt;&gt;"",InvDump[[#This Row],[InvAmount]]*9%,"")</f>
        <v/>
      </c>
      <c r="Q86" s="29" t="str">
        <f>InvDump[[#This Row],[GST1]]</f>
        <v/>
      </c>
      <c r="R86" s="29" t="str">
        <f>IF(InvDump[[#This Row],[InvAmount]]&lt;&gt;"",SUM(InvDump[[#This Row],[InvAmount]:[GST2]]),"")</f>
        <v/>
      </c>
      <c r="S86" s="25" t="str">
        <f>IFERROR(InvDump[[#This Row],[InvoiceNo]]&amp;"-"&amp;InvDump[[#This Row],[InvoiceType]]&amp;"-"&amp;TEXT(InvDump[[#This Row],[InvoicePeriod]], "mmm")&amp;"'"&amp;TEXT(InvDump[[#This Row],[InvoicePeriod]], "yy")&amp;IF(InvDump[[#This Row],[Location]]&lt;&gt;"","-"&amp;InvDump[[#This Row],[Location]],"")&amp;"-"&amp;InvDump[[#This Row],[Company]]&amp;"("&amp;VLOOKUP(InvDump[[#This Row],[Company]],CustomerData!B:D,3,FALSE)&amp;")","")</f>
        <v/>
      </c>
      <c r="T86" s="25" t="str" cm="1">
        <f t="array" ref="T86">IFERROR(FindFilePath(InvDump[[#This Row],[Invoice File Name]]&amp;".pdf",ControlPanel!$C$14), "")</f>
        <v/>
      </c>
      <c r="U86" s="25" t="str">
        <f>IF(InvDump[[#This Row],[Annexure]]="Yes",IFERROR(InvDump[[#This Row],[InvoiceNo]]&amp;"-"&amp;TEXT(InvDump[[#This Row],[InvoicePeriod]], "mmm")&amp;"'"&amp;TEXT(InvDump[[#This Row],[InvoicePeriod]], "yy")&amp;"-"&amp;InvDump[[#This Row],[Company]]&amp;"("&amp;VLOOKUP(InvDump[[#This Row],[Company]],CustomerData!B:D,3,FALSE)&amp;")","")&amp;"-Annexure","")</f>
        <v/>
      </c>
      <c r="V86" s="25" t="str" cm="1">
        <f t="array" ref="V86">IFERROR(FindFilePath(InvDump[[#This Row],[Annexure File Name]]&amp;".pdf",ControlPanel!$C$14), "")</f>
        <v/>
      </c>
    </row>
  </sheetData>
  <sheetProtection algorithmName="SHA-512" hashValue="++pgNMeoo78JsWS0bCd51orsCD8gh3htzKx1zkM/ehkTv4j/m3D1xyHSwJe/hLeN3XO0nfC4V8n1OdHF86eHoQ==" saltValue="2dw9EaQYGGiHFIj4hyGjRw==" spinCount="100000" sheet="1" objects="1" scenarios="1"/>
  <mergeCells count="1">
    <mergeCell ref="B1:E1"/>
  </mergeCells>
  <phoneticPr fontId="9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335B-28FC-499B-A24E-FBBE2F9E63EC}">
  <sheetPr codeName="Sheet4"/>
  <dimension ref="A2:D92"/>
  <sheetViews>
    <sheetView showGridLines="0" zoomScale="85" zoomScaleNormal="85" workbookViewId="0">
      <selection activeCell="C25" sqref="C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3"/>
  <cols>
    <col min="1" max="1" width="31.88671875" customWidth="1"/>
    <col min="2" max="2" width="97.5546875" bestFit="1" customWidth="1"/>
    <col min="3" max="3" width="91.88671875" bestFit="1" customWidth="1"/>
    <col min="4" max="4" width="17.6640625" customWidth="1"/>
    <col min="5" max="16384" width="17.6640625" hidden="1"/>
  </cols>
  <sheetData>
    <row r="2" spans="1:3" ht="14.4" customHeight="1" x14ac:dyDescent="0.3"/>
    <row r="3" spans="1:3" ht="15" customHeight="1" x14ac:dyDescent="0.3">
      <c r="A3" s="45" t="s">
        <v>67</v>
      </c>
      <c r="B3" s="45" t="s">
        <v>68</v>
      </c>
      <c r="C3" s="45" t="s">
        <v>69</v>
      </c>
    </row>
    <row r="4" spans="1:3" x14ac:dyDescent="0.3">
      <c r="A4" t="s">
        <v>121</v>
      </c>
      <c r="B4" t="s">
        <v>133</v>
      </c>
      <c r="C4" t="s">
        <v>61</v>
      </c>
    </row>
    <row r="5" spans="1:3" x14ac:dyDescent="0.3">
      <c r="A5" t="s">
        <v>122</v>
      </c>
      <c r="B5" t="s">
        <v>134</v>
      </c>
      <c r="C5" t="s">
        <v>61</v>
      </c>
    </row>
    <row r="6" spans="1:3" x14ac:dyDescent="0.3">
      <c r="A6" t="s">
        <v>123</v>
      </c>
      <c r="B6" t="s">
        <v>135</v>
      </c>
      <c r="C6" t="s">
        <v>61</v>
      </c>
    </row>
    <row r="7" spans="1:3" x14ac:dyDescent="0.3">
      <c r="A7" t="s">
        <v>124</v>
      </c>
      <c r="B7" t="s">
        <v>136</v>
      </c>
      <c r="C7" t="s">
        <v>61</v>
      </c>
    </row>
    <row r="8" spans="1:3" x14ac:dyDescent="0.3">
      <c r="A8" t="s">
        <v>125</v>
      </c>
      <c r="B8" t="s">
        <v>137</v>
      </c>
      <c r="C8" t="s">
        <v>143</v>
      </c>
    </row>
    <row r="9" spans="1:3" x14ac:dyDescent="0.3">
      <c r="A9" t="s">
        <v>126</v>
      </c>
      <c r="B9" t="s">
        <v>138</v>
      </c>
      <c r="C9" t="s">
        <v>144</v>
      </c>
    </row>
    <row r="10" spans="1:3" x14ac:dyDescent="0.3">
      <c r="A10" t="s">
        <v>127</v>
      </c>
      <c r="B10" t="s">
        <v>139</v>
      </c>
      <c r="C10" t="s">
        <v>145</v>
      </c>
    </row>
    <row r="11" spans="1:3" x14ac:dyDescent="0.3">
      <c r="A11" t="s">
        <v>128</v>
      </c>
      <c r="B11" t="s">
        <v>140</v>
      </c>
      <c r="C11" t="s">
        <v>61</v>
      </c>
    </row>
    <row r="12" spans="1:3" x14ac:dyDescent="0.3">
      <c r="A12" t="s">
        <v>129</v>
      </c>
      <c r="B12" t="s">
        <v>141</v>
      </c>
      <c r="C12" t="s">
        <v>61</v>
      </c>
    </row>
    <row r="13" spans="1:3" x14ac:dyDescent="0.3">
      <c r="A13" t="s">
        <v>130</v>
      </c>
      <c r="B13" t="s">
        <v>142</v>
      </c>
      <c r="C13" t="s">
        <v>61</v>
      </c>
    </row>
    <row r="14" spans="1:3" x14ac:dyDescent="0.3">
      <c r="B14" t="s">
        <v>61</v>
      </c>
      <c r="C14" t="s">
        <v>61</v>
      </c>
    </row>
    <row r="15" spans="1:3" x14ac:dyDescent="0.3">
      <c r="B15" t="s">
        <v>61</v>
      </c>
      <c r="C15" t="s">
        <v>61</v>
      </c>
    </row>
    <row r="16" spans="1:3" x14ac:dyDescent="0.3">
      <c r="B16" t="s">
        <v>61</v>
      </c>
      <c r="C16" t="s">
        <v>61</v>
      </c>
    </row>
    <row r="17" spans="2:3" x14ac:dyDescent="0.3">
      <c r="B17" t="s">
        <v>61</v>
      </c>
      <c r="C17" t="s">
        <v>61</v>
      </c>
    </row>
    <row r="18" spans="2:3" x14ac:dyDescent="0.3">
      <c r="B18" t="s">
        <v>61</v>
      </c>
      <c r="C18" t="s">
        <v>61</v>
      </c>
    </row>
    <row r="19" spans="2:3" x14ac:dyDescent="0.3">
      <c r="B19" t="s">
        <v>61</v>
      </c>
      <c r="C19" t="s">
        <v>61</v>
      </c>
    </row>
    <row r="20" spans="2:3" x14ac:dyDescent="0.3">
      <c r="B20" t="s">
        <v>61</v>
      </c>
      <c r="C20" t="s">
        <v>61</v>
      </c>
    </row>
    <row r="21" spans="2:3" x14ac:dyDescent="0.3">
      <c r="B21" t="s">
        <v>61</v>
      </c>
      <c r="C21" t="s">
        <v>61</v>
      </c>
    </row>
    <row r="22" spans="2:3" x14ac:dyDescent="0.3">
      <c r="B22" t="s">
        <v>61</v>
      </c>
      <c r="C22" t="s">
        <v>61</v>
      </c>
    </row>
    <row r="23" spans="2:3" x14ac:dyDescent="0.3">
      <c r="B23" t="s">
        <v>61</v>
      </c>
      <c r="C23" t="s">
        <v>61</v>
      </c>
    </row>
    <row r="24" spans="2:3" x14ac:dyDescent="0.3">
      <c r="B24" t="s">
        <v>61</v>
      </c>
      <c r="C24" t="s">
        <v>61</v>
      </c>
    </row>
    <row r="25" spans="2:3" x14ac:dyDescent="0.3">
      <c r="B25" t="s">
        <v>61</v>
      </c>
      <c r="C25" t="s">
        <v>61</v>
      </c>
    </row>
    <row r="26" spans="2:3" x14ac:dyDescent="0.3">
      <c r="B26" t="s">
        <v>61</v>
      </c>
      <c r="C26" t="s">
        <v>61</v>
      </c>
    </row>
    <row r="27" spans="2:3" x14ac:dyDescent="0.3">
      <c r="B27" t="s">
        <v>61</v>
      </c>
      <c r="C27" t="s">
        <v>61</v>
      </c>
    </row>
    <row r="28" spans="2:3" x14ac:dyDescent="0.3">
      <c r="B28" t="s">
        <v>61</v>
      </c>
      <c r="C28" t="s">
        <v>61</v>
      </c>
    </row>
    <row r="29" spans="2:3" x14ac:dyDescent="0.3">
      <c r="B29" t="s">
        <v>61</v>
      </c>
      <c r="C29" t="s">
        <v>61</v>
      </c>
    </row>
    <row r="30" spans="2:3" x14ac:dyDescent="0.3">
      <c r="B30" t="s">
        <v>61</v>
      </c>
      <c r="C30" t="s">
        <v>61</v>
      </c>
    </row>
    <row r="31" spans="2:3" x14ac:dyDescent="0.3">
      <c r="B31" t="s">
        <v>61</v>
      </c>
      <c r="C31" t="s">
        <v>61</v>
      </c>
    </row>
    <row r="32" spans="2:3" x14ac:dyDescent="0.3">
      <c r="B32" t="s">
        <v>61</v>
      </c>
      <c r="C32" t="s">
        <v>61</v>
      </c>
    </row>
    <row r="33" spans="2:3" x14ac:dyDescent="0.3">
      <c r="B33" t="s">
        <v>61</v>
      </c>
      <c r="C33" t="s">
        <v>61</v>
      </c>
    </row>
    <row r="34" spans="2:3" x14ac:dyDescent="0.3">
      <c r="B34" t="s">
        <v>61</v>
      </c>
      <c r="C34" t="s">
        <v>61</v>
      </c>
    </row>
    <row r="35" spans="2:3" x14ac:dyDescent="0.3">
      <c r="B35" t="s">
        <v>61</v>
      </c>
      <c r="C35" t="s">
        <v>61</v>
      </c>
    </row>
    <row r="36" spans="2:3" x14ac:dyDescent="0.3">
      <c r="B36" t="s">
        <v>61</v>
      </c>
      <c r="C36" t="s">
        <v>61</v>
      </c>
    </row>
    <row r="37" spans="2:3" x14ac:dyDescent="0.3">
      <c r="B37" t="s">
        <v>61</v>
      </c>
      <c r="C37" t="s">
        <v>61</v>
      </c>
    </row>
    <row r="38" spans="2:3" x14ac:dyDescent="0.3">
      <c r="B38" t="s">
        <v>61</v>
      </c>
      <c r="C38" t="s">
        <v>61</v>
      </c>
    </row>
    <row r="39" spans="2:3" x14ac:dyDescent="0.3">
      <c r="B39" t="s">
        <v>61</v>
      </c>
      <c r="C39" t="s">
        <v>61</v>
      </c>
    </row>
    <row r="40" spans="2:3" x14ac:dyDescent="0.3">
      <c r="B40" t="s">
        <v>61</v>
      </c>
      <c r="C40" t="s">
        <v>61</v>
      </c>
    </row>
    <row r="41" spans="2:3" x14ac:dyDescent="0.3">
      <c r="B41" t="s">
        <v>61</v>
      </c>
      <c r="C41" t="s">
        <v>61</v>
      </c>
    </row>
    <row r="42" spans="2:3" x14ac:dyDescent="0.3">
      <c r="B42" t="s">
        <v>61</v>
      </c>
      <c r="C42" t="s">
        <v>61</v>
      </c>
    </row>
    <row r="43" spans="2:3" x14ac:dyDescent="0.3">
      <c r="B43" t="s">
        <v>61</v>
      </c>
      <c r="C43" t="s">
        <v>61</v>
      </c>
    </row>
    <row r="44" spans="2:3" x14ac:dyDescent="0.3">
      <c r="B44" t="s">
        <v>61</v>
      </c>
      <c r="C44" t="s">
        <v>61</v>
      </c>
    </row>
    <row r="45" spans="2:3" x14ac:dyDescent="0.3">
      <c r="B45" t="s">
        <v>61</v>
      </c>
      <c r="C45" t="s">
        <v>61</v>
      </c>
    </row>
    <row r="46" spans="2:3" x14ac:dyDescent="0.3">
      <c r="B46" t="s">
        <v>61</v>
      </c>
      <c r="C46" t="s">
        <v>61</v>
      </c>
    </row>
    <row r="47" spans="2:3" x14ac:dyDescent="0.3">
      <c r="B47" t="s">
        <v>61</v>
      </c>
      <c r="C47" t="s">
        <v>61</v>
      </c>
    </row>
    <row r="48" spans="2:3" x14ac:dyDescent="0.3">
      <c r="B48" t="s">
        <v>61</v>
      </c>
      <c r="C48" t="s">
        <v>61</v>
      </c>
    </row>
    <row r="49" spans="2:3" x14ac:dyDescent="0.3">
      <c r="B49" t="s">
        <v>61</v>
      </c>
      <c r="C49" t="s">
        <v>61</v>
      </c>
    </row>
    <row r="50" spans="2:3" x14ac:dyDescent="0.3">
      <c r="B50" t="s">
        <v>61</v>
      </c>
      <c r="C50" t="s">
        <v>61</v>
      </c>
    </row>
    <row r="51" spans="2:3" x14ac:dyDescent="0.3">
      <c r="B51" t="s">
        <v>61</v>
      </c>
      <c r="C51" t="s">
        <v>61</v>
      </c>
    </row>
    <row r="52" spans="2:3" x14ac:dyDescent="0.3">
      <c r="B52" t="s">
        <v>61</v>
      </c>
      <c r="C52" t="s">
        <v>61</v>
      </c>
    </row>
    <row r="53" spans="2:3" x14ac:dyDescent="0.3">
      <c r="B53" t="s">
        <v>61</v>
      </c>
      <c r="C53" t="s">
        <v>61</v>
      </c>
    </row>
    <row r="54" spans="2:3" x14ac:dyDescent="0.3">
      <c r="B54" t="s">
        <v>61</v>
      </c>
      <c r="C54" t="s">
        <v>61</v>
      </c>
    </row>
    <row r="55" spans="2:3" x14ac:dyDescent="0.3">
      <c r="B55" t="s">
        <v>61</v>
      </c>
      <c r="C55" t="s">
        <v>61</v>
      </c>
    </row>
    <row r="56" spans="2:3" x14ac:dyDescent="0.3">
      <c r="B56" t="s">
        <v>61</v>
      </c>
      <c r="C56" t="s">
        <v>61</v>
      </c>
    </row>
    <row r="57" spans="2:3" x14ac:dyDescent="0.3">
      <c r="B57" t="s">
        <v>61</v>
      </c>
      <c r="C57" t="s">
        <v>61</v>
      </c>
    </row>
    <row r="58" spans="2:3" x14ac:dyDescent="0.3">
      <c r="B58" t="s">
        <v>61</v>
      </c>
      <c r="C58" t="s">
        <v>61</v>
      </c>
    </row>
    <row r="59" spans="2:3" x14ac:dyDescent="0.3">
      <c r="B59" t="s">
        <v>61</v>
      </c>
      <c r="C59" t="s">
        <v>61</v>
      </c>
    </row>
    <row r="60" spans="2:3" x14ac:dyDescent="0.3">
      <c r="B60" t="s">
        <v>61</v>
      </c>
      <c r="C60" t="s">
        <v>61</v>
      </c>
    </row>
    <row r="61" spans="2:3" x14ac:dyDescent="0.3">
      <c r="B61" t="s">
        <v>61</v>
      </c>
      <c r="C61" t="s">
        <v>61</v>
      </c>
    </row>
    <row r="62" spans="2:3" x14ac:dyDescent="0.3">
      <c r="B62" t="s">
        <v>61</v>
      </c>
      <c r="C62" t="s">
        <v>61</v>
      </c>
    </row>
    <row r="63" spans="2:3" x14ac:dyDescent="0.3">
      <c r="B63" t="s">
        <v>61</v>
      </c>
      <c r="C63" t="s">
        <v>61</v>
      </c>
    </row>
    <row r="64" spans="2:3" x14ac:dyDescent="0.3">
      <c r="B64" t="s">
        <v>61</v>
      </c>
      <c r="C64" t="s">
        <v>61</v>
      </c>
    </row>
    <row r="65" spans="2:4" x14ac:dyDescent="0.3">
      <c r="B65" t="s">
        <v>61</v>
      </c>
      <c r="C65" t="s">
        <v>61</v>
      </c>
    </row>
    <row r="66" spans="2:4" x14ac:dyDescent="0.3">
      <c r="B66" t="s">
        <v>61</v>
      </c>
      <c r="C66" t="s">
        <v>61</v>
      </c>
    </row>
    <row r="67" spans="2:4" x14ac:dyDescent="0.3">
      <c r="B67" t="s">
        <v>61</v>
      </c>
      <c r="C67" t="s">
        <v>61</v>
      </c>
    </row>
    <row r="68" spans="2:4" x14ac:dyDescent="0.3">
      <c r="B68" t="s">
        <v>61</v>
      </c>
      <c r="C68" t="s">
        <v>61</v>
      </c>
    </row>
    <row r="69" spans="2:4" x14ac:dyDescent="0.3">
      <c r="B69" t="s">
        <v>61</v>
      </c>
      <c r="C69" t="s">
        <v>61</v>
      </c>
    </row>
    <row r="70" spans="2:4" x14ac:dyDescent="0.3">
      <c r="B70" t="s">
        <v>61</v>
      </c>
      <c r="C70" t="s">
        <v>61</v>
      </c>
    </row>
    <row r="71" spans="2:4" x14ac:dyDescent="0.3">
      <c r="B71" t="s">
        <v>61</v>
      </c>
      <c r="C71" t="s">
        <v>61</v>
      </c>
    </row>
    <row r="72" spans="2:4" x14ac:dyDescent="0.3">
      <c r="B72" t="s">
        <v>61</v>
      </c>
      <c r="C72" t="s">
        <v>61</v>
      </c>
    </row>
    <row r="73" spans="2:4" x14ac:dyDescent="0.3">
      <c r="B73" t="s">
        <v>61</v>
      </c>
      <c r="C73" t="s">
        <v>61</v>
      </c>
    </row>
    <row r="74" spans="2:4" x14ac:dyDescent="0.3">
      <c r="B74" t="s">
        <v>61</v>
      </c>
      <c r="C74" t="s">
        <v>61</v>
      </c>
    </row>
    <row r="75" spans="2:4" x14ac:dyDescent="0.3">
      <c r="B75" t="s">
        <v>61</v>
      </c>
      <c r="C75" t="s">
        <v>61</v>
      </c>
    </row>
    <row r="76" spans="2:4" x14ac:dyDescent="0.3">
      <c r="B76" t="s">
        <v>61</v>
      </c>
      <c r="C76" t="s">
        <v>61</v>
      </c>
      <c r="D76" t="s">
        <v>61</v>
      </c>
    </row>
    <row r="77" spans="2:4" x14ac:dyDescent="0.3">
      <c r="B77" t="s">
        <v>61</v>
      </c>
      <c r="C77" t="s">
        <v>61</v>
      </c>
      <c r="D77" t="s">
        <v>61</v>
      </c>
    </row>
    <row r="78" spans="2:4" x14ac:dyDescent="0.3">
      <c r="B78" t="s">
        <v>61</v>
      </c>
      <c r="C78" t="s">
        <v>61</v>
      </c>
      <c r="D78" t="s">
        <v>61</v>
      </c>
    </row>
    <row r="79" spans="2:4" x14ac:dyDescent="0.3">
      <c r="B79" t="s">
        <v>61</v>
      </c>
      <c r="C79" t="s">
        <v>61</v>
      </c>
      <c r="D79" t="s">
        <v>61</v>
      </c>
    </row>
    <row r="80" spans="2:4" x14ac:dyDescent="0.3">
      <c r="B80" t="s">
        <v>61</v>
      </c>
      <c r="C80" t="s">
        <v>61</v>
      </c>
      <c r="D80" t="s">
        <v>61</v>
      </c>
    </row>
    <row r="81" spans="2:4" x14ac:dyDescent="0.3">
      <c r="B81" t="s">
        <v>61</v>
      </c>
      <c r="C81" t="s">
        <v>61</v>
      </c>
      <c r="D81" t="s">
        <v>61</v>
      </c>
    </row>
    <row r="82" spans="2:4" x14ac:dyDescent="0.3">
      <c r="B82" t="s">
        <v>61</v>
      </c>
      <c r="C82" t="s">
        <v>61</v>
      </c>
      <c r="D82" t="s">
        <v>61</v>
      </c>
    </row>
    <row r="83" spans="2:4" x14ac:dyDescent="0.3">
      <c r="B83" t="s">
        <v>61</v>
      </c>
      <c r="C83" t="s">
        <v>61</v>
      </c>
      <c r="D83" t="s">
        <v>61</v>
      </c>
    </row>
    <row r="84" spans="2:4" x14ac:dyDescent="0.3">
      <c r="B84" t="s">
        <v>61</v>
      </c>
      <c r="C84" t="s">
        <v>61</v>
      </c>
      <c r="D84" t="s">
        <v>61</v>
      </c>
    </row>
    <row r="85" spans="2:4" x14ac:dyDescent="0.3">
      <c r="B85" t="s">
        <v>61</v>
      </c>
      <c r="C85" t="s">
        <v>61</v>
      </c>
      <c r="D85" t="s">
        <v>61</v>
      </c>
    </row>
    <row r="86" spans="2:4" x14ac:dyDescent="0.3">
      <c r="B86" t="s">
        <v>61</v>
      </c>
      <c r="C86" t="s">
        <v>61</v>
      </c>
      <c r="D86" t="s">
        <v>61</v>
      </c>
    </row>
    <row r="87" spans="2:4" x14ac:dyDescent="0.3">
      <c r="B87" t="s">
        <v>61</v>
      </c>
      <c r="C87" t="s">
        <v>61</v>
      </c>
      <c r="D87" t="s">
        <v>61</v>
      </c>
    </row>
    <row r="88" spans="2:4" x14ac:dyDescent="0.3">
      <c r="B88" t="s">
        <v>61</v>
      </c>
      <c r="C88" t="s">
        <v>61</v>
      </c>
      <c r="D88" t="s">
        <v>61</v>
      </c>
    </row>
    <row r="89" spans="2:4" x14ac:dyDescent="0.3">
      <c r="B89" t="s">
        <v>61</v>
      </c>
      <c r="C89" t="s">
        <v>61</v>
      </c>
      <c r="D89" t="s">
        <v>61</v>
      </c>
    </row>
    <row r="90" spans="2:4" x14ac:dyDescent="0.3">
      <c r="B90" t="s">
        <v>61</v>
      </c>
      <c r="C90" t="s">
        <v>61</v>
      </c>
      <c r="D90" t="s">
        <v>61</v>
      </c>
    </row>
    <row r="91" spans="2:4" x14ac:dyDescent="0.3">
      <c r="B91" t="s">
        <v>61</v>
      </c>
      <c r="C91" t="s">
        <v>61</v>
      </c>
      <c r="D91" t="s">
        <v>61</v>
      </c>
    </row>
    <row r="92" spans="2:4" x14ac:dyDescent="0.3">
      <c r="B92" t="s">
        <v>61</v>
      </c>
      <c r="C92" t="s">
        <v>61</v>
      </c>
      <c r="D92" t="s">
        <v>61</v>
      </c>
    </row>
  </sheetData>
  <conditionalFormatting sqref="A24:C1048576">
    <cfRule type="notContainsBlanks" dxfId="11" priority="1">
      <formula>LEN(TRIM(A24))&gt;0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E438E-DEE4-4EC2-BC53-BD2004D5EF6E}">
  <sheetPr codeName="Sheet6"/>
  <dimension ref="A3:G74"/>
  <sheetViews>
    <sheetView showGridLines="0" zoomScale="85" zoomScaleNormal="85" workbookViewId="0">
      <pane ySplit="3" topLeftCell="A4" activePane="bottomLeft" state="frozen"/>
      <selection activeCell="R4" sqref="R4"/>
      <selection pane="bottomLeft" activeCell="D21" sqref="D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3"/>
  <cols>
    <col min="1" max="2" width="28.77734375" style="10" customWidth="1"/>
    <col min="3" max="3" width="21.88671875" style="10" bestFit="1" customWidth="1"/>
    <col min="4" max="5" width="28.77734375" style="10" customWidth="1"/>
    <col min="6" max="6" width="13.44140625" customWidth="1"/>
    <col min="7" max="7" width="0" hidden="1" customWidth="1"/>
    <col min="8" max="16384" width="8.88671875" hidden="1"/>
  </cols>
  <sheetData>
    <row r="3" spans="1:5" ht="15" customHeight="1" x14ac:dyDescent="0.3">
      <c r="A3" s="34" t="s">
        <v>24</v>
      </c>
      <c r="B3" s="34" t="s">
        <v>27</v>
      </c>
      <c r="C3" s="34" t="s">
        <v>29</v>
      </c>
      <c r="D3" s="34" t="s">
        <v>30</v>
      </c>
      <c r="E3" s="34" t="s">
        <v>28</v>
      </c>
    </row>
    <row r="4" spans="1:5" x14ac:dyDescent="0.3">
      <c r="D4" s="11"/>
    </row>
    <row r="5" spans="1:5" x14ac:dyDescent="0.3">
      <c r="D5" s="11"/>
    </row>
    <row r="6" spans="1:5" x14ac:dyDescent="0.3">
      <c r="D6" s="11"/>
    </row>
    <row r="7" spans="1:5" x14ac:dyDescent="0.3">
      <c r="D7" s="11"/>
    </row>
    <row r="8" spans="1:5" x14ac:dyDescent="0.3">
      <c r="D8" s="11"/>
    </row>
    <row r="9" spans="1:5" x14ac:dyDescent="0.3">
      <c r="D9" s="11"/>
    </row>
    <row r="10" spans="1:5" x14ac:dyDescent="0.3">
      <c r="D10" s="11"/>
    </row>
    <row r="11" spans="1:5" x14ac:dyDescent="0.3">
      <c r="D11" s="11"/>
    </row>
    <row r="12" spans="1:5" x14ac:dyDescent="0.3">
      <c r="D12" s="11"/>
    </row>
    <row r="13" spans="1:5" x14ac:dyDescent="0.3">
      <c r="D13" s="11"/>
    </row>
    <row r="14" spans="1:5" x14ac:dyDescent="0.3">
      <c r="D14" s="11"/>
    </row>
    <row r="15" spans="1:5" x14ac:dyDescent="0.3">
      <c r="D15" s="11"/>
    </row>
    <row r="16" spans="1:5" x14ac:dyDescent="0.3">
      <c r="D16" s="11"/>
    </row>
    <row r="17" spans="4:4" x14ac:dyDescent="0.3">
      <c r="D17" s="11"/>
    </row>
    <row r="18" spans="4:4" x14ac:dyDescent="0.3">
      <c r="D18" s="11"/>
    </row>
    <row r="19" spans="4:4" x14ac:dyDescent="0.3">
      <c r="D19" s="11"/>
    </row>
    <row r="20" spans="4:4" x14ac:dyDescent="0.3">
      <c r="D20" s="11"/>
    </row>
    <row r="21" spans="4:4" x14ac:dyDescent="0.3">
      <c r="D21" s="11"/>
    </row>
    <row r="22" spans="4:4" x14ac:dyDescent="0.3">
      <c r="D22" s="11"/>
    </row>
    <row r="23" spans="4:4" x14ac:dyDescent="0.3">
      <c r="D23" s="11"/>
    </row>
    <row r="24" spans="4:4" x14ac:dyDescent="0.3">
      <c r="D24" s="11"/>
    </row>
    <row r="25" spans="4:4" x14ac:dyDescent="0.3">
      <c r="D25" s="11"/>
    </row>
    <row r="26" spans="4:4" x14ac:dyDescent="0.3">
      <c r="D26" s="11"/>
    </row>
    <row r="27" spans="4:4" x14ac:dyDescent="0.3">
      <c r="D27" s="11"/>
    </row>
    <row r="28" spans="4:4" x14ac:dyDescent="0.3">
      <c r="D28" s="11"/>
    </row>
    <row r="29" spans="4:4" x14ac:dyDescent="0.3">
      <c r="D29" s="11"/>
    </row>
    <row r="30" spans="4:4" x14ac:dyDescent="0.3">
      <c r="D30" s="11"/>
    </row>
    <row r="31" spans="4:4" x14ac:dyDescent="0.3">
      <c r="D31" s="11"/>
    </row>
    <row r="32" spans="4:4" x14ac:dyDescent="0.3">
      <c r="D32" s="11"/>
    </row>
    <row r="33" spans="4:4" x14ac:dyDescent="0.3">
      <c r="D33" s="11"/>
    </row>
    <row r="34" spans="4:4" x14ac:dyDescent="0.3">
      <c r="D34" s="11"/>
    </row>
    <row r="35" spans="4:4" x14ac:dyDescent="0.3">
      <c r="D35" s="11"/>
    </row>
    <row r="36" spans="4:4" x14ac:dyDescent="0.3">
      <c r="D36" s="11"/>
    </row>
    <row r="37" spans="4:4" x14ac:dyDescent="0.3">
      <c r="D37" s="11"/>
    </row>
    <row r="38" spans="4:4" x14ac:dyDescent="0.3">
      <c r="D38" s="11"/>
    </row>
    <row r="39" spans="4:4" x14ac:dyDescent="0.3">
      <c r="D39" s="11"/>
    </row>
    <row r="40" spans="4:4" x14ac:dyDescent="0.3">
      <c r="D40" s="11"/>
    </row>
    <row r="41" spans="4:4" x14ac:dyDescent="0.3">
      <c r="D41" s="11"/>
    </row>
    <row r="42" spans="4:4" x14ac:dyDescent="0.3">
      <c r="D42" s="11"/>
    </row>
    <row r="43" spans="4:4" x14ac:dyDescent="0.3">
      <c r="D43" s="11"/>
    </row>
    <row r="44" spans="4:4" x14ac:dyDescent="0.3">
      <c r="D44" s="11"/>
    </row>
    <row r="45" spans="4:4" x14ac:dyDescent="0.3">
      <c r="D45" s="11"/>
    </row>
    <row r="46" spans="4:4" x14ac:dyDescent="0.3">
      <c r="D46" s="11"/>
    </row>
    <row r="47" spans="4:4" x14ac:dyDescent="0.3">
      <c r="D47" s="11"/>
    </row>
    <row r="48" spans="4:4" x14ac:dyDescent="0.3">
      <c r="D48" s="11"/>
    </row>
    <row r="49" spans="4:5" x14ac:dyDescent="0.3">
      <c r="D49" s="11"/>
    </row>
    <row r="50" spans="4:5" x14ac:dyDescent="0.3">
      <c r="D50" s="11"/>
    </row>
    <row r="51" spans="4:5" x14ac:dyDescent="0.3">
      <c r="D51" s="11"/>
    </row>
    <row r="52" spans="4:5" x14ac:dyDescent="0.3">
      <c r="D52" s="11"/>
    </row>
    <row r="53" spans="4:5" x14ac:dyDescent="0.3">
      <c r="D53" s="11"/>
    </row>
    <row r="54" spans="4:5" x14ac:dyDescent="0.3">
      <c r="D54" s="11"/>
    </row>
    <row r="55" spans="4:5" x14ac:dyDescent="0.3">
      <c r="D55" s="11"/>
    </row>
    <row r="56" spans="4:5" x14ac:dyDescent="0.3">
      <c r="D56" s="11"/>
    </row>
    <row r="57" spans="4:5" x14ac:dyDescent="0.3">
      <c r="D57" s="11"/>
    </row>
    <row r="58" spans="4:5" x14ac:dyDescent="0.3">
      <c r="D58" s="11"/>
      <c r="E58" s="17"/>
    </row>
    <row r="59" spans="4:5" x14ac:dyDescent="0.3">
      <c r="D59" s="11"/>
    </row>
    <row r="60" spans="4:5" x14ac:dyDescent="0.3">
      <c r="D60" s="11"/>
      <c r="E60" s="17"/>
    </row>
    <row r="61" spans="4:5" x14ac:dyDescent="0.3">
      <c r="D61" s="11"/>
    </row>
    <row r="62" spans="4:5" x14ac:dyDescent="0.3">
      <c r="D62" s="11"/>
    </row>
    <row r="63" spans="4:5" x14ac:dyDescent="0.3">
      <c r="D63" s="11"/>
    </row>
    <row r="64" spans="4:5" x14ac:dyDescent="0.3">
      <c r="D64" s="11"/>
    </row>
    <row r="65" spans="4:4" x14ac:dyDescent="0.3">
      <c r="D65" s="11"/>
    </row>
    <row r="66" spans="4:4" x14ac:dyDescent="0.3">
      <c r="D66" s="11"/>
    </row>
    <row r="67" spans="4:4" x14ac:dyDescent="0.3">
      <c r="D67" s="11"/>
    </row>
    <row r="68" spans="4:4" x14ac:dyDescent="0.3">
      <c r="D68" s="11"/>
    </row>
    <row r="69" spans="4:4" x14ac:dyDescent="0.3">
      <c r="D69" s="11"/>
    </row>
    <row r="70" spans="4:4" x14ac:dyDescent="0.3">
      <c r="D70" s="11"/>
    </row>
    <row r="71" spans="4:4" x14ac:dyDescent="0.3">
      <c r="D71" s="11"/>
    </row>
    <row r="72" spans="4:4" x14ac:dyDescent="0.3">
      <c r="D72" s="11"/>
    </row>
    <row r="73" spans="4:4" x14ac:dyDescent="0.3">
      <c r="D73" s="11"/>
    </row>
    <row r="74" spans="4:4" x14ac:dyDescent="0.3">
      <c r="D74" s="11"/>
    </row>
  </sheetData>
  <sortState xmlns:xlrd2="http://schemas.microsoft.com/office/spreadsheetml/2017/richdata2" ref="A4:E74">
    <sortCondition descending="1" ref="D3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DD6CB-BAC3-4352-9119-933236D87082}">
  <sheetPr codeName="Sheet11"/>
  <dimension ref="A1:K13"/>
  <sheetViews>
    <sheetView showGridLines="0" zoomScale="85" zoomScaleNormal="85" workbookViewId="0">
      <pane ySplit="3" topLeftCell="A4" activePane="bottomLeft" state="frozen"/>
      <selection activeCell="R4" sqref="R4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3"/>
  <cols>
    <col min="1" max="1" width="10.77734375" customWidth="1"/>
    <col min="2" max="2" width="34.44140625" bestFit="1" customWidth="1"/>
    <col min="3" max="3" width="20.33203125" bestFit="1" customWidth="1"/>
    <col min="4" max="4" width="22.5546875" customWidth="1"/>
    <col min="5" max="5" width="38" customWidth="1"/>
    <col min="6" max="6" width="39.88671875" customWidth="1"/>
    <col min="7" max="7" width="12.109375" bestFit="1" customWidth="1"/>
    <col min="8" max="8" width="19.33203125" bestFit="1" customWidth="1"/>
    <col min="9" max="10" width="8.88671875" customWidth="1"/>
    <col min="11" max="16384" width="8.88671875" hidden="1"/>
  </cols>
  <sheetData>
    <row r="1" spans="1:11" x14ac:dyDescent="0.3">
      <c r="G1" s="79" t="s">
        <v>153</v>
      </c>
      <c r="H1" s="79" t="s">
        <v>151</v>
      </c>
    </row>
    <row r="2" spans="1:11" x14ac:dyDescent="0.3">
      <c r="G2" s="79" t="s">
        <v>150</v>
      </c>
      <c r="H2" s="79" t="s">
        <v>152</v>
      </c>
    </row>
    <row r="3" spans="1:11" x14ac:dyDescent="0.3">
      <c r="A3" s="22" t="s">
        <v>44</v>
      </c>
      <c r="B3" s="23" t="s">
        <v>102</v>
      </c>
      <c r="C3" s="23" t="s">
        <v>103</v>
      </c>
      <c r="D3" s="23" t="s">
        <v>43</v>
      </c>
      <c r="E3" s="23" t="s">
        <v>57</v>
      </c>
      <c r="F3" s="33" t="s">
        <v>58</v>
      </c>
    </row>
    <row r="4" spans="1:11" x14ac:dyDescent="0.3">
      <c r="A4" s="21">
        <v>1</v>
      </c>
      <c r="B4" s="20" t="s">
        <v>92</v>
      </c>
      <c r="C4" s="16" t="s">
        <v>105</v>
      </c>
      <c r="D4" s="16" t="s">
        <v>114</v>
      </c>
      <c r="E4" s="78" t="s">
        <v>120</v>
      </c>
      <c r="F4" s="78" t="s">
        <v>120</v>
      </c>
      <c r="K4" t="s">
        <v>32</v>
      </c>
    </row>
    <row r="5" spans="1:11" x14ac:dyDescent="0.3">
      <c r="A5" s="21">
        <v>2</v>
      </c>
      <c r="B5" s="20" t="s">
        <v>93</v>
      </c>
      <c r="C5" s="16" t="s">
        <v>104</v>
      </c>
      <c r="D5" s="16" t="s">
        <v>115</v>
      </c>
      <c r="E5" s="78" t="s">
        <v>120</v>
      </c>
      <c r="F5" s="78" t="s">
        <v>120</v>
      </c>
      <c r="K5" t="s">
        <v>59</v>
      </c>
    </row>
    <row r="6" spans="1:11" x14ac:dyDescent="0.3">
      <c r="A6" s="21">
        <v>3</v>
      </c>
      <c r="B6" s="20" t="s">
        <v>94</v>
      </c>
      <c r="C6" s="16" t="s">
        <v>106</v>
      </c>
      <c r="D6" s="16" t="s">
        <v>116</v>
      </c>
      <c r="E6" s="78" t="s">
        <v>120</v>
      </c>
      <c r="F6" s="78" t="s">
        <v>120</v>
      </c>
      <c r="K6" t="s">
        <v>60</v>
      </c>
    </row>
    <row r="7" spans="1:11" x14ac:dyDescent="0.3">
      <c r="A7" s="21">
        <v>4</v>
      </c>
      <c r="B7" s="20" t="s">
        <v>95</v>
      </c>
      <c r="C7" s="16" t="s">
        <v>107</v>
      </c>
      <c r="D7" s="16" t="s">
        <v>114</v>
      </c>
      <c r="E7" s="78" t="s">
        <v>120</v>
      </c>
      <c r="F7" s="78" t="s">
        <v>120</v>
      </c>
      <c r="K7" t="s">
        <v>56</v>
      </c>
    </row>
    <row r="8" spans="1:11" x14ac:dyDescent="0.3">
      <c r="A8" s="21">
        <v>5</v>
      </c>
      <c r="B8" s="20" t="s">
        <v>96</v>
      </c>
      <c r="C8" s="16" t="s">
        <v>108</v>
      </c>
      <c r="D8" s="16" t="s">
        <v>114</v>
      </c>
      <c r="E8" s="78" t="s">
        <v>120</v>
      </c>
      <c r="F8" s="78" t="s">
        <v>120</v>
      </c>
    </row>
    <row r="9" spans="1:11" x14ac:dyDescent="0.3">
      <c r="A9" s="21">
        <v>6</v>
      </c>
      <c r="B9" s="20" t="s">
        <v>97</v>
      </c>
      <c r="C9" s="16" t="s">
        <v>109</v>
      </c>
      <c r="D9" s="16" t="s">
        <v>117</v>
      </c>
      <c r="E9" s="78" t="s">
        <v>120</v>
      </c>
      <c r="F9" s="78" t="s">
        <v>120</v>
      </c>
    </row>
    <row r="10" spans="1:11" x14ac:dyDescent="0.3">
      <c r="A10" s="21">
        <v>7</v>
      </c>
      <c r="B10" s="20" t="s">
        <v>98</v>
      </c>
      <c r="C10" s="16" t="s">
        <v>110</v>
      </c>
      <c r="D10" s="16" t="s">
        <v>117</v>
      </c>
      <c r="E10" s="78" t="s">
        <v>120</v>
      </c>
      <c r="F10" s="78" t="s">
        <v>120</v>
      </c>
    </row>
    <row r="11" spans="1:11" x14ac:dyDescent="0.3">
      <c r="A11" s="21">
        <v>8</v>
      </c>
      <c r="B11" s="20" t="s">
        <v>99</v>
      </c>
      <c r="C11" s="16" t="s">
        <v>111</v>
      </c>
      <c r="D11" s="16" t="s">
        <v>118</v>
      </c>
      <c r="E11" s="78" t="s">
        <v>120</v>
      </c>
      <c r="F11" s="78" t="s">
        <v>120</v>
      </c>
    </row>
    <row r="12" spans="1:11" x14ac:dyDescent="0.3">
      <c r="A12" s="21">
        <v>9</v>
      </c>
      <c r="B12" s="20" t="s">
        <v>100</v>
      </c>
      <c r="C12" s="16" t="s">
        <v>112</v>
      </c>
      <c r="D12" s="16" t="s">
        <v>119</v>
      </c>
      <c r="E12" s="78" t="s">
        <v>120</v>
      </c>
      <c r="F12" s="78" t="s">
        <v>120</v>
      </c>
    </row>
    <row r="13" spans="1:11" x14ac:dyDescent="0.3">
      <c r="A13" s="21">
        <v>10</v>
      </c>
      <c r="B13" s="20" t="s">
        <v>101</v>
      </c>
      <c r="C13" s="16" t="s">
        <v>113</v>
      </c>
      <c r="D13" s="16" t="s">
        <v>119</v>
      </c>
      <c r="E13" s="78" t="s">
        <v>120</v>
      </c>
      <c r="F13" s="78" t="s">
        <v>120</v>
      </c>
    </row>
  </sheetData>
  <phoneticPr fontId="9" type="noConversion"/>
  <hyperlinks>
    <hyperlink ref="E4" r:id="rId1" xr:uid="{93B168A5-3DBA-49BF-BF6E-BE34492B312B}"/>
    <hyperlink ref="E5:E13" r:id="rId2" display="abc@gmail.com" xr:uid="{D70E46D7-7D0E-4A92-8833-4D3A9851411F}"/>
    <hyperlink ref="F4" r:id="rId3" xr:uid="{A4553BC0-A642-40B4-BA1F-5EC8133632D2}"/>
    <hyperlink ref="F5:F13" r:id="rId4" display="abc@gmail.com" xr:uid="{3EF7EF0B-C764-4763-8920-BD04FBA2A7A0}"/>
  </hyperlinks>
  <pageMargins left="0.7" right="0.7" top="0.75" bottom="0.75" header="0.3" footer="0.3"/>
  <drawing r:id="rId5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4450-0B2D-47C5-96CC-0D13C8B8A046}">
  <sheetPr codeName="Sheet2"/>
  <dimension ref="A1:G34"/>
  <sheetViews>
    <sheetView showGridLines="0" view="pageBreakPreview" zoomScaleNormal="100" zoomScaleSheetLayoutView="100" workbookViewId="0">
      <selection activeCell="A5" sqref="A5:G6"/>
    </sheetView>
  </sheetViews>
  <sheetFormatPr defaultColWidth="8.88671875" defaultRowHeight="11.4" x14ac:dyDescent="0.2"/>
  <cols>
    <col min="1" max="1" width="13.6640625" style="6" customWidth="1"/>
    <col min="2" max="6" width="14.88671875" style="6" customWidth="1"/>
    <col min="7" max="7" width="16.6640625" style="6" customWidth="1"/>
    <col min="8" max="16383" width="8.88671875" style="6" customWidth="1"/>
    <col min="16384" max="16384" width="8.88671875" style="6"/>
  </cols>
  <sheetData>
    <row r="1" spans="1:7" x14ac:dyDescent="0.2">
      <c r="A1" s="2" t="s">
        <v>23</v>
      </c>
    </row>
    <row r="2" spans="1:7" x14ac:dyDescent="0.2">
      <c r="A2" s="2"/>
    </row>
    <row r="3" spans="1:7" x14ac:dyDescent="0.2">
      <c r="A3" s="2" t="s">
        <v>62</v>
      </c>
    </row>
    <row r="4" spans="1:7" x14ac:dyDescent="0.2">
      <c r="A4" s="7"/>
    </row>
    <row r="5" spans="1:7" ht="22.8" x14ac:dyDescent="0.2">
      <c r="A5" s="12" t="s">
        <v>33</v>
      </c>
      <c r="B5" s="12" t="s">
        <v>45</v>
      </c>
      <c r="C5" s="12" t="s">
        <v>63</v>
      </c>
      <c r="D5" s="12" t="s">
        <v>34</v>
      </c>
      <c r="E5" s="8" t="s">
        <v>25</v>
      </c>
      <c r="F5" s="8" t="s">
        <v>26</v>
      </c>
      <c r="G5" s="12" t="s">
        <v>35</v>
      </c>
    </row>
    <row r="6" spans="1:7" x14ac:dyDescent="0.2">
      <c r="A6" s="14" t="s">
        <v>20</v>
      </c>
      <c r="B6" s="14" t="s">
        <v>46</v>
      </c>
      <c r="C6" s="14" t="s">
        <v>54</v>
      </c>
      <c r="D6" s="14" t="s">
        <v>21</v>
      </c>
      <c r="E6" s="14" t="s">
        <v>10</v>
      </c>
      <c r="F6" s="14" t="s">
        <v>22</v>
      </c>
      <c r="G6" s="14" t="s">
        <v>11</v>
      </c>
    </row>
    <row r="7" spans="1:7" x14ac:dyDescent="0.2">
      <c r="A7" s="31"/>
      <c r="B7" s="31"/>
      <c r="C7" s="31"/>
      <c r="D7" s="31"/>
      <c r="E7" s="31"/>
      <c r="F7" s="31"/>
      <c r="G7" s="31"/>
    </row>
    <row r="8" spans="1:7" x14ac:dyDescent="0.2">
      <c r="A8" s="2" t="s">
        <v>12</v>
      </c>
    </row>
    <row r="9" spans="1:7" x14ac:dyDescent="0.2">
      <c r="A9" s="2"/>
    </row>
    <row r="10" spans="1:7" x14ac:dyDescent="0.2">
      <c r="A10" s="2" t="s">
        <v>13</v>
      </c>
    </row>
    <row r="11" spans="1:7" x14ac:dyDescent="0.2">
      <c r="A11" s="4"/>
    </row>
    <row r="12" spans="1:7" ht="22.8" x14ac:dyDescent="0.2">
      <c r="A12" s="9" t="s">
        <v>31</v>
      </c>
      <c r="B12" s="13" t="s">
        <v>36</v>
      </c>
      <c r="C12" s="13" t="s">
        <v>37</v>
      </c>
      <c r="D12" s="13" t="s">
        <v>38</v>
      </c>
      <c r="E12" s="13" t="s">
        <v>39</v>
      </c>
      <c r="F12" s="13" t="s">
        <v>40</v>
      </c>
      <c r="G12" s="13" t="s">
        <v>41</v>
      </c>
    </row>
    <row r="13" spans="1:7" x14ac:dyDescent="0.2">
      <c r="A13" s="5"/>
      <c r="B13" s="5"/>
      <c r="C13" s="5"/>
      <c r="D13" s="5"/>
      <c r="E13" s="5"/>
      <c r="F13" s="5"/>
      <c r="G13" s="5"/>
    </row>
    <row r="14" spans="1:7" x14ac:dyDescent="0.2">
      <c r="A14" s="5"/>
      <c r="B14" s="5"/>
      <c r="C14" s="5"/>
      <c r="D14" s="5"/>
      <c r="E14" s="5"/>
      <c r="F14" s="5"/>
      <c r="G14" s="5"/>
    </row>
    <row r="15" spans="1:7" x14ac:dyDescent="0.2">
      <c r="A15" s="2"/>
    </row>
    <row r="16" spans="1:7" x14ac:dyDescent="0.2">
      <c r="A16" s="2" t="s">
        <v>14</v>
      </c>
    </row>
    <row r="17" spans="1:3" x14ac:dyDescent="0.2">
      <c r="A17" s="2"/>
    </row>
    <row r="18" spans="1:3" x14ac:dyDescent="0.2">
      <c r="A18" s="2" t="s">
        <v>15</v>
      </c>
    </row>
    <row r="19" spans="1:3" x14ac:dyDescent="0.2">
      <c r="A19" s="3"/>
    </row>
    <row r="20" spans="1:3" x14ac:dyDescent="0.2">
      <c r="A20" s="3" t="s">
        <v>48</v>
      </c>
    </row>
    <row r="21" spans="1:3" x14ac:dyDescent="0.2">
      <c r="A21" s="2"/>
    </row>
    <row r="22" spans="1:3" x14ac:dyDescent="0.2">
      <c r="A22" s="2"/>
    </row>
    <row r="23" spans="1:3" x14ac:dyDescent="0.2">
      <c r="A23" s="3" t="s">
        <v>146</v>
      </c>
    </row>
    <row r="24" spans="1:3" x14ac:dyDescent="0.2">
      <c r="A24" s="2" t="s">
        <v>147</v>
      </c>
    </row>
    <row r="25" spans="1:3" x14ac:dyDescent="0.2">
      <c r="A25" s="2"/>
    </row>
    <row r="26" spans="1:3" x14ac:dyDescent="0.2">
      <c r="A26" s="2"/>
    </row>
    <row r="27" spans="1:3" x14ac:dyDescent="0.2">
      <c r="A27" s="2" t="s">
        <v>148</v>
      </c>
    </row>
    <row r="28" spans="1:3" x14ac:dyDescent="0.2">
      <c r="A28" s="2" t="s">
        <v>149</v>
      </c>
    </row>
    <row r="29" spans="1:3" x14ac:dyDescent="0.2">
      <c r="A29" s="2"/>
      <c r="B29" s="2"/>
      <c r="C29" s="2"/>
    </row>
    <row r="30" spans="1:3" x14ac:dyDescent="0.2">
      <c r="A30" s="2"/>
      <c r="B30" s="2"/>
      <c r="C30" s="2"/>
    </row>
    <row r="31" spans="1:3" x14ac:dyDescent="0.2">
      <c r="A31" s="2"/>
      <c r="B31" s="2"/>
      <c r="C31" s="2"/>
    </row>
    <row r="32" spans="1:3" x14ac:dyDescent="0.2">
      <c r="A32" s="2"/>
      <c r="B32" s="2"/>
      <c r="C32" s="2"/>
    </row>
    <row r="33" spans="1:1" x14ac:dyDescent="0.2">
      <c r="A33" s="2"/>
    </row>
    <row r="34" spans="1:1" x14ac:dyDescent="0.2">
      <c r="A34" s="2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3AD87-0732-4E42-82A1-6A9D2AF751E5}">
  <sheetPr codeName="Sheet3"/>
  <dimension ref="A1:G33"/>
  <sheetViews>
    <sheetView showGridLines="0" view="pageBreakPreview" zoomScaleNormal="100" zoomScaleSheetLayoutView="100" workbookViewId="0">
      <selection activeCell="A22" sqref="A22"/>
    </sheetView>
  </sheetViews>
  <sheetFormatPr defaultColWidth="8.88671875" defaultRowHeight="11.4" x14ac:dyDescent="0.2"/>
  <cols>
    <col min="1" max="1" width="13" style="6" customWidth="1"/>
    <col min="2" max="6" width="14.88671875" style="6" customWidth="1"/>
    <col min="7" max="7" width="16.6640625" style="6" customWidth="1"/>
    <col min="8" max="16383" width="8.88671875" style="6" customWidth="1"/>
    <col min="16384" max="16384" width="8.88671875" style="6"/>
  </cols>
  <sheetData>
    <row r="1" spans="1:7" x14ac:dyDescent="0.2">
      <c r="A1" s="2" t="s">
        <v>23</v>
      </c>
    </row>
    <row r="2" spans="1:7" x14ac:dyDescent="0.2">
      <c r="A2" s="2"/>
    </row>
    <row r="3" spans="1:7" x14ac:dyDescent="0.2">
      <c r="A3" s="2" t="s">
        <v>62</v>
      </c>
    </row>
    <row r="4" spans="1:7" x14ac:dyDescent="0.2">
      <c r="A4" s="7"/>
    </row>
    <row r="5" spans="1:7" ht="22.8" x14ac:dyDescent="0.2">
      <c r="A5" s="12" t="s">
        <v>33</v>
      </c>
      <c r="B5" s="12" t="s">
        <v>45</v>
      </c>
      <c r="C5" s="12" t="s">
        <v>34</v>
      </c>
      <c r="D5" s="8" t="s">
        <v>25</v>
      </c>
      <c r="E5" s="8" t="s">
        <v>26</v>
      </c>
      <c r="F5" s="12" t="s">
        <v>35</v>
      </c>
    </row>
    <row r="6" spans="1:7" x14ac:dyDescent="0.2">
      <c r="A6" s="14" t="s">
        <v>20</v>
      </c>
      <c r="B6" s="14" t="s">
        <v>46</v>
      </c>
      <c r="C6" s="14" t="s">
        <v>21</v>
      </c>
      <c r="D6" s="14" t="s">
        <v>10</v>
      </c>
      <c r="E6" s="14" t="s">
        <v>22</v>
      </c>
      <c r="F6" s="14" t="s">
        <v>11</v>
      </c>
    </row>
    <row r="7" spans="1:7" x14ac:dyDescent="0.2">
      <c r="A7" s="2"/>
    </row>
    <row r="8" spans="1:7" x14ac:dyDescent="0.2">
      <c r="A8" s="2" t="s">
        <v>12</v>
      </c>
    </row>
    <row r="9" spans="1:7" x14ac:dyDescent="0.2">
      <c r="A9" s="2"/>
    </row>
    <row r="10" spans="1:7" x14ac:dyDescent="0.2">
      <c r="A10" s="2" t="s">
        <v>13</v>
      </c>
    </row>
    <row r="11" spans="1:7" x14ac:dyDescent="0.2">
      <c r="A11" s="4"/>
    </row>
    <row r="12" spans="1:7" ht="22.8" x14ac:dyDescent="0.2">
      <c r="A12" s="9" t="s">
        <v>31</v>
      </c>
      <c r="B12" s="13" t="s">
        <v>36</v>
      </c>
      <c r="C12" s="13" t="s">
        <v>37</v>
      </c>
      <c r="D12" s="13" t="s">
        <v>38</v>
      </c>
      <c r="E12" s="13" t="s">
        <v>39</v>
      </c>
      <c r="F12" s="13" t="s">
        <v>40</v>
      </c>
      <c r="G12" s="13" t="s">
        <v>41</v>
      </c>
    </row>
    <row r="13" spans="1:7" x14ac:dyDescent="0.2">
      <c r="A13" s="5"/>
      <c r="B13" s="5"/>
      <c r="C13" s="5"/>
      <c r="D13" s="5"/>
      <c r="E13" s="5"/>
      <c r="F13" s="5"/>
      <c r="G13" s="5"/>
    </row>
    <row r="14" spans="1:7" x14ac:dyDescent="0.2">
      <c r="A14" s="5"/>
      <c r="B14" s="5"/>
      <c r="C14" s="5"/>
      <c r="D14" s="5"/>
      <c r="E14" s="5"/>
      <c r="F14" s="5"/>
      <c r="G14" s="5"/>
    </row>
    <row r="15" spans="1:7" x14ac:dyDescent="0.2">
      <c r="A15" s="2"/>
    </row>
    <row r="16" spans="1:7" x14ac:dyDescent="0.2">
      <c r="A16" s="2" t="s">
        <v>14</v>
      </c>
    </row>
    <row r="17" spans="1:1" x14ac:dyDescent="0.2">
      <c r="A17" s="2"/>
    </row>
    <row r="18" spans="1:1" x14ac:dyDescent="0.2">
      <c r="A18" s="2" t="s">
        <v>15</v>
      </c>
    </row>
    <row r="19" spans="1:1" x14ac:dyDescent="0.2">
      <c r="A19" s="3"/>
    </row>
    <row r="20" spans="1:1" x14ac:dyDescent="0.2">
      <c r="A20" s="3" t="s">
        <v>48</v>
      </c>
    </row>
    <row r="21" spans="1:1" x14ac:dyDescent="0.2">
      <c r="A21" s="3"/>
    </row>
    <row r="22" spans="1:1" x14ac:dyDescent="0.2">
      <c r="A22" s="2"/>
    </row>
    <row r="23" spans="1:1" x14ac:dyDescent="0.2">
      <c r="A23" s="3" t="s">
        <v>146</v>
      </c>
    </row>
    <row r="24" spans="1:1" x14ac:dyDescent="0.2">
      <c r="A24" s="2" t="s">
        <v>147</v>
      </c>
    </row>
    <row r="25" spans="1:1" x14ac:dyDescent="0.2">
      <c r="A25" s="2"/>
    </row>
    <row r="26" spans="1:1" x14ac:dyDescent="0.2">
      <c r="A26" s="2"/>
    </row>
    <row r="27" spans="1:1" x14ac:dyDescent="0.2">
      <c r="A27" s="2" t="s">
        <v>148</v>
      </c>
    </row>
    <row r="28" spans="1:1" x14ac:dyDescent="0.2">
      <c r="A28" s="2" t="s">
        <v>149</v>
      </c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7C1F1-C950-4DA1-84E4-619E94FEFD81}">
  <sheetPr codeName="Sheet5"/>
  <dimension ref="A1:G34"/>
  <sheetViews>
    <sheetView showGridLines="0" view="pageBreakPreview" zoomScaleNormal="100" zoomScaleSheetLayoutView="100" workbookViewId="0">
      <selection activeCell="A22" sqref="A22"/>
    </sheetView>
  </sheetViews>
  <sheetFormatPr defaultColWidth="8.88671875" defaultRowHeight="11.4" x14ac:dyDescent="0.2"/>
  <cols>
    <col min="1" max="1" width="13" style="6" customWidth="1"/>
    <col min="2" max="6" width="14.88671875" style="6" customWidth="1"/>
    <col min="7" max="7" width="16.6640625" style="6" customWidth="1"/>
    <col min="8" max="16383" width="8.88671875" style="6" customWidth="1"/>
    <col min="16384" max="16384" width="8.88671875" style="6"/>
  </cols>
  <sheetData>
    <row r="1" spans="1:7" x14ac:dyDescent="0.2">
      <c r="A1" s="2" t="s">
        <v>23</v>
      </c>
    </row>
    <row r="2" spans="1:7" x14ac:dyDescent="0.2">
      <c r="A2" s="2"/>
    </row>
    <row r="3" spans="1:7" x14ac:dyDescent="0.2">
      <c r="A3" s="2" t="s">
        <v>62</v>
      </c>
    </row>
    <row r="4" spans="1:7" x14ac:dyDescent="0.2">
      <c r="A4" s="7"/>
    </row>
    <row r="5" spans="1:7" ht="22.8" x14ac:dyDescent="0.2">
      <c r="A5" s="12" t="s">
        <v>33</v>
      </c>
      <c r="B5" s="12" t="s">
        <v>45</v>
      </c>
      <c r="C5" s="12" t="s">
        <v>63</v>
      </c>
      <c r="D5" s="12" t="s">
        <v>64</v>
      </c>
      <c r="E5" s="12" t="s">
        <v>34</v>
      </c>
    </row>
    <row r="6" spans="1:7" x14ac:dyDescent="0.2">
      <c r="A6" s="14" t="s">
        <v>20</v>
      </c>
      <c r="B6" s="14" t="s">
        <v>46</v>
      </c>
      <c r="C6" s="14" t="s">
        <v>54</v>
      </c>
      <c r="D6" s="14" t="s">
        <v>66</v>
      </c>
      <c r="E6" s="14" t="s">
        <v>21</v>
      </c>
    </row>
    <row r="7" spans="1:7" x14ac:dyDescent="0.2">
      <c r="A7" s="2"/>
    </row>
    <row r="8" spans="1:7" x14ac:dyDescent="0.2">
      <c r="A8" s="2" t="s">
        <v>12</v>
      </c>
    </row>
    <row r="9" spans="1:7" x14ac:dyDescent="0.2">
      <c r="A9" s="2"/>
    </row>
    <row r="10" spans="1:7" x14ac:dyDescent="0.2">
      <c r="A10" s="2" t="s">
        <v>13</v>
      </c>
    </row>
    <row r="11" spans="1:7" x14ac:dyDescent="0.2">
      <c r="A11" s="4"/>
    </row>
    <row r="12" spans="1:7" ht="22.8" x14ac:dyDescent="0.2">
      <c r="A12" s="9" t="s">
        <v>31</v>
      </c>
      <c r="B12" s="13" t="s">
        <v>36</v>
      </c>
      <c r="C12" s="13" t="s">
        <v>37</v>
      </c>
      <c r="D12" s="13" t="s">
        <v>38</v>
      </c>
      <c r="E12" s="13" t="s">
        <v>39</v>
      </c>
      <c r="F12" s="13" t="s">
        <v>40</v>
      </c>
      <c r="G12" s="13" t="s">
        <v>41</v>
      </c>
    </row>
    <row r="13" spans="1:7" x14ac:dyDescent="0.2">
      <c r="A13" s="5"/>
      <c r="B13" s="5"/>
      <c r="C13" s="5"/>
      <c r="D13" s="5"/>
      <c r="E13" s="5"/>
      <c r="F13" s="5"/>
      <c r="G13" s="5"/>
    </row>
    <row r="14" spans="1:7" x14ac:dyDescent="0.2">
      <c r="A14" s="5"/>
      <c r="B14" s="5"/>
      <c r="C14" s="5"/>
      <c r="D14" s="5"/>
      <c r="E14" s="5"/>
      <c r="F14" s="5"/>
      <c r="G14" s="5"/>
    </row>
    <row r="15" spans="1:7" x14ac:dyDescent="0.2">
      <c r="A15" s="2"/>
    </row>
    <row r="16" spans="1:7" x14ac:dyDescent="0.2">
      <c r="A16" s="2" t="s">
        <v>14</v>
      </c>
    </row>
    <row r="17" spans="1:1" x14ac:dyDescent="0.2">
      <c r="A17" s="2"/>
    </row>
    <row r="18" spans="1:1" x14ac:dyDescent="0.2">
      <c r="A18" s="2" t="s">
        <v>15</v>
      </c>
    </row>
    <row r="19" spans="1:1" x14ac:dyDescent="0.2">
      <c r="A19" s="3"/>
    </row>
    <row r="20" spans="1:1" x14ac:dyDescent="0.2">
      <c r="A20" s="3" t="s">
        <v>48</v>
      </c>
    </row>
    <row r="21" spans="1:1" x14ac:dyDescent="0.2">
      <c r="A21" s="2"/>
    </row>
    <row r="22" spans="1:1" x14ac:dyDescent="0.2">
      <c r="A22" s="2"/>
    </row>
    <row r="23" spans="1:1" x14ac:dyDescent="0.2">
      <c r="A23" s="3" t="s">
        <v>146</v>
      </c>
    </row>
    <row r="24" spans="1:1" x14ac:dyDescent="0.2">
      <c r="A24" s="2" t="s">
        <v>147</v>
      </c>
    </row>
    <row r="25" spans="1:1" x14ac:dyDescent="0.2">
      <c r="A25" s="2"/>
    </row>
    <row r="26" spans="1:1" x14ac:dyDescent="0.2">
      <c r="A26" s="2"/>
    </row>
    <row r="27" spans="1:1" x14ac:dyDescent="0.2">
      <c r="A27" s="2" t="s">
        <v>148</v>
      </c>
    </row>
    <row r="28" spans="1:1" x14ac:dyDescent="0.2">
      <c r="A28" s="2" t="s">
        <v>149</v>
      </c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7C68C-3A94-432C-8931-1510A4ECAB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ControlPanel</vt:lpstr>
      <vt:lpstr>DispatchData</vt:lpstr>
      <vt:lpstr>InvoiceDump</vt:lpstr>
      <vt:lpstr>FileNames</vt:lpstr>
      <vt:lpstr>SentLog</vt:lpstr>
      <vt:lpstr>CustomerData</vt:lpstr>
      <vt:lpstr>MailTemplate</vt:lpstr>
      <vt:lpstr>MailTemplate1</vt:lpstr>
      <vt:lpstr>MailTemplate2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Subba Rao P</dc:creator>
  <cp:lastModifiedBy>Rama Subba Rao P</cp:lastModifiedBy>
  <dcterms:created xsi:type="dcterms:W3CDTF">2015-06-05T18:17:20Z</dcterms:created>
  <dcterms:modified xsi:type="dcterms:W3CDTF">2026-03-24T05:44:00Z</dcterms:modified>
</cp:coreProperties>
</file>